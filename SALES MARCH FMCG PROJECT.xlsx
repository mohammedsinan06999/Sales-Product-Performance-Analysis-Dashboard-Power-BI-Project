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connections.xml" ContentType="application/vnd.openxmlformats-officedocument.spreadsheetml.connections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tables/table2.xml" ContentType="application/vnd.openxmlformats-officedocument.spreadsheetml.table+xml"/>
  <Override PartName="/xl/queryTables/queryTable1.xml" ContentType="application/vnd.openxmlformats-officedocument.spreadsheetml.queryTable+xml"/>
  <Override PartName="/xl/tables/table3.xml" ContentType="application/vnd.openxmlformats-officedocument.spreadsheetml.table+xml"/>
  <Override PartName="/xl/queryTables/queryTable2.xml" ContentType="application/vnd.openxmlformats-officedocument.spreadsheetml.queryTable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628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ms193\Desktop\Data analytics\Internship\"/>
    </mc:Choice>
  </mc:AlternateContent>
  <xr:revisionPtr revIDLastSave="0" documentId="13_ncr:1_{8A749D64-4839-418D-8259-FA65F4A6741A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TOTAL SALES" sheetId="1" r:id="rId1"/>
    <sheet name="Sales Quantity Table" sheetId="7" r:id="rId2"/>
    <sheet name="unpivot" sheetId="6" r:id="rId3"/>
  </sheets>
  <definedNames>
    <definedName name="_xlnm._FilterDatabase" localSheetId="0" hidden="1">'TOTAL SALES'!$A$2:$F$14</definedName>
    <definedName name="ExternalData_1" localSheetId="2" hidden="1">unpivot!$A$1:$D$125</definedName>
    <definedName name="ExternalData_2" localSheetId="1" hidden="1">'Sales Quantity Table'!$A$1:$E$125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F13" i="1" l="1"/>
  <c r="C13" i="1"/>
  <c r="F6" i="1"/>
  <c r="F7" i="1"/>
  <c r="C7" i="1"/>
  <c r="C6" i="1"/>
  <c r="D14" i="1"/>
  <c r="D13" i="1"/>
  <c r="F12" i="1"/>
  <c r="E12" i="1"/>
  <c r="D12" i="1"/>
  <c r="E11" i="1"/>
  <c r="F11" i="1" s="1"/>
  <c r="D11" i="1"/>
  <c r="E10" i="1"/>
  <c r="F10" i="1" s="1"/>
  <c r="D10" i="1"/>
  <c r="F9" i="1"/>
  <c r="D9" i="1"/>
  <c r="E8" i="1"/>
  <c r="F8" i="1" s="1"/>
  <c r="D8" i="1"/>
  <c r="D7" i="1"/>
  <c r="E6" i="1"/>
  <c r="D6" i="1"/>
  <c r="E5" i="1"/>
  <c r="F5" i="1" s="1"/>
  <c r="D5" i="1"/>
  <c r="F4" i="1"/>
  <c r="D4" i="1"/>
  <c r="F14" i="1" l="1"/>
  <c r="E14" i="1"/>
</calcChain>
</file>

<file path=xl/connections.xml><?xml version="1.0" encoding="utf-8"?>
<connections xmlns="http://schemas.openxmlformats.org/spreadsheetml/2006/main" xmlns:mc="http://schemas.openxmlformats.org/markup-compatibility/2006" xmlns:xr16="http://schemas.microsoft.com/office/spreadsheetml/2017/revision16" mc:Ignorable="xr16">
  <connection id="1" xr16:uid="{9B2CF6C7-97B4-4536-AE1E-143DA489B697}" keepAlive="1" name="Query - Table2" description="Connection to the 'Table2' query in the workbook." type="5" refreshedVersion="0" background="1">
    <dbPr connection="Provider=Microsoft.Mashup.OleDb.1;Data Source=$Workbook$;Location=Table2;Extended Properties=&quot;&quot;" command="SELECT * FROM [Table2]"/>
  </connection>
  <connection id="2" xr16:uid="{BE090B81-CCE6-4870-9653-FD1C787FA475}" keepAlive="1" name="Query - Table2 (2)" description="Connection to the 'Table2 (2)' query in the workbook." type="5" refreshedVersion="0" background="1">
    <dbPr connection="Provider=Microsoft.Mashup.OleDb.1;Data Source=$Workbook$;Location=&quot;Table2 (2)&quot;;Extended Properties=&quot;&quot;" command="SELECT * FROM [Table2 (2)]"/>
  </connection>
  <connection id="3" xr16:uid="{8FE1901F-F5AB-4D7D-8DA4-004CB11C2736}" keepAlive="1" name="Query - Table2 (3)" description="Connection to the 'Table2 (3)' query in the workbook." type="5" refreshedVersion="0" background="1">
    <dbPr connection="Provider=Microsoft.Mashup.OleDb.1;Data Source=$Workbook$;Location=&quot;Table2 (3)&quot;;Extended Properties=&quot;&quot;" command="SELECT * FROM [Table2 (3)]"/>
  </connection>
  <connection id="4" xr16:uid="{38723799-7B78-4920-925B-639831ABC796}" keepAlive="1" name="Query - Table2 (4)" description="Connection to the 'Table2 (4)' query in the workbook." type="5" refreshedVersion="8" background="1" saveData="1">
    <dbPr connection="Provider=Microsoft.Mashup.OleDb.1;Data Source=$Workbook$;Location=&quot;Table2 (4)&quot;;Extended Properties=&quot;&quot;" command="SELECT * FROM [Table2 (4)]"/>
  </connection>
  <connection id="5" xr16:uid="{2AEF4484-24F3-4763-93BB-F86A162E97CE}" keepAlive="1" name="Query - Table2 (5)" description="Connection to the 'Table2 (5)' query in the workbook." type="5" refreshedVersion="8" background="1" saveData="1">
    <dbPr connection="Provider=Microsoft.Mashup.OleDb.1;Data Source=$Workbook$;Location=&quot;Table2 (5)&quot;;Extended Properties=&quot;&quot;" command="SELECT * FROM [Table2 (5)]"/>
  </connection>
  <connection id="6" xr16:uid="{4AC6AA5D-08D8-4E56-B84E-A53FA0265991}" keepAlive="1" name="Query - Table2__5" description="Connection to the 'Table2__5' query in the workbook." type="5" refreshedVersion="8" background="1" saveData="1">
    <dbPr connection="Provider=Microsoft.Mashup.OleDb.1;Data Source=$Workbook$;Location=Table2__5;Extended Properties=&quot;&quot;" command="SELECT * FROM [Table2__5]"/>
  </connection>
</connections>
</file>

<file path=xl/sharedStrings.xml><?xml version="1.0" encoding="utf-8"?>
<sst xmlns="http://schemas.openxmlformats.org/spreadsheetml/2006/main" count="949" uniqueCount="149">
  <si>
    <t>SALES REPORT</t>
  </si>
  <si>
    <t>FEBRUARY &amp; MARCH</t>
  </si>
  <si>
    <t>No</t>
  </si>
  <si>
    <t>Sales Man</t>
  </si>
  <si>
    <t>Target</t>
  </si>
  <si>
    <t>FEBRUARY</t>
  </si>
  <si>
    <t>MARCH</t>
  </si>
  <si>
    <t>Variance</t>
  </si>
  <si>
    <t>Moni</t>
  </si>
  <si>
    <t>Muhsin</t>
  </si>
  <si>
    <t>Shamsudheen</t>
  </si>
  <si>
    <t>Nazmul</t>
  </si>
  <si>
    <t>Anvar</t>
  </si>
  <si>
    <t>Fayis</t>
  </si>
  <si>
    <t xml:space="preserve"> </t>
  </si>
  <si>
    <t>Kanakan</t>
  </si>
  <si>
    <t>Musthafa</t>
  </si>
  <si>
    <t>Sulaiman</t>
  </si>
  <si>
    <t>Jasim</t>
  </si>
  <si>
    <t>Product Name</t>
  </si>
  <si>
    <t>Direct Sale</t>
  </si>
  <si>
    <t>Shrimp 50/60</t>
  </si>
  <si>
    <t>22 BOX</t>
  </si>
  <si>
    <t>2 BOX</t>
  </si>
  <si>
    <t>43.166 BOX</t>
  </si>
  <si>
    <t>7 BOX</t>
  </si>
  <si>
    <t>3 BOX</t>
  </si>
  <si>
    <t>Lipton Yellow Label Tea</t>
  </si>
  <si>
    <t>12.167 BOX</t>
  </si>
  <si>
    <t>48.330 BOX</t>
  </si>
  <si>
    <t>5 BOX</t>
  </si>
  <si>
    <t>1.251 BOX</t>
  </si>
  <si>
    <t>5.251 BOX</t>
  </si>
  <si>
    <t>20 BOX</t>
  </si>
  <si>
    <t>Moila</t>
  </si>
  <si>
    <t>Ample French Fries 6mm</t>
  </si>
  <si>
    <t>150.250 BOX</t>
  </si>
  <si>
    <t>6 BOX</t>
  </si>
  <si>
    <t>40 PCS</t>
  </si>
  <si>
    <t>Shrimp 40/50</t>
  </si>
  <si>
    <t>75.500 BOX</t>
  </si>
  <si>
    <t>9.334 BOX</t>
  </si>
  <si>
    <t>1 BOX</t>
  </si>
  <si>
    <t>17.666 BOX</t>
  </si>
  <si>
    <t>Egg</t>
  </si>
  <si>
    <t>10 BOX</t>
  </si>
  <si>
    <t>224 BOX</t>
  </si>
  <si>
    <t>506 BOX</t>
  </si>
  <si>
    <t>98 BOX</t>
  </si>
  <si>
    <t>254 BOX</t>
  </si>
  <si>
    <t>166 BOX</t>
  </si>
  <si>
    <t>341 BOX</t>
  </si>
  <si>
    <t>859.666 BOX</t>
  </si>
  <si>
    <t>Egg 6Pcs Pouch</t>
  </si>
  <si>
    <t>30 POUCH</t>
  </si>
  <si>
    <t>382 POUCH</t>
  </si>
  <si>
    <t>60 POUCH</t>
  </si>
  <si>
    <t>22 POUCH</t>
  </si>
  <si>
    <t>3 POUCH</t>
  </si>
  <si>
    <t>Egg 15Pcs Pouch</t>
  </si>
  <si>
    <t>115 POUCH</t>
  </si>
  <si>
    <t>12 POUCH</t>
  </si>
  <si>
    <t>40 POUCH</t>
  </si>
  <si>
    <t>24POUCH</t>
  </si>
  <si>
    <t>Shrimp 30/40</t>
  </si>
  <si>
    <t>11 BOX</t>
  </si>
  <si>
    <t>Indian Mackerel 8/10</t>
  </si>
  <si>
    <t>Indian Mackerel 4/6</t>
  </si>
  <si>
    <t>Indian Mackerel 8/12</t>
  </si>
  <si>
    <t>29 BOX</t>
  </si>
  <si>
    <t>Indian Mackerel 6/8</t>
  </si>
  <si>
    <t>Rohu WR 800-1000G</t>
  </si>
  <si>
    <t>33 BOX</t>
  </si>
  <si>
    <t>Rohu WR 1KG UP</t>
  </si>
  <si>
    <t>259 BOX</t>
  </si>
  <si>
    <t>43 BOX</t>
  </si>
  <si>
    <t>49 BOX</t>
  </si>
  <si>
    <t>Batashi</t>
  </si>
  <si>
    <t>Tuna loins</t>
  </si>
  <si>
    <t>22.800 KG</t>
  </si>
  <si>
    <t>Green Tea</t>
  </si>
  <si>
    <t>1.333 BOX</t>
  </si>
  <si>
    <t>1.083 BOX</t>
  </si>
  <si>
    <t>0.083 BOX</t>
  </si>
  <si>
    <t>Star Baim</t>
  </si>
  <si>
    <t>Quaker Oats</t>
  </si>
  <si>
    <t>0.250 BOX</t>
  </si>
  <si>
    <t>15 BOX</t>
  </si>
  <si>
    <t>1.875 BOX</t>
  </si>
  <si>
    <t>0.167 BOX</t>
  </si>
  <si>
    <t>1.125 BOX</t>
  </si>
  <si>
    <t>Frozen Rohu (G) 2kg UP</t>
  </si>
  <si>
    <t>Bato Potato Burger</t>
  </si>
  <si>
    <t>King Fish</t>
  </si>
  <si>
    <t>41.300 BOX</t>
  </si>
  <si>
    <t>13 BOX</t>
  </si>
  <si>
    <t>16 BOX</t>
  </si>
  <si>
    <t>Al khalij chips Mix Box</t>
  </si>
  <si>
    <t>1.400 BOX</t>
  </si>
  <si>
    <t>Samosa</t>
  </si>
  <si>
    <t>4.500 BOX</t>
  </si>
  <si>
    <t>53 BOX</t>
  </si>
  <si>
    <t>58.875 BOX</t>
  </si>
  <si>
    <t>142 BOX</t>
  </si>
  <si>
    <t>52 BOX</t>
  </si>
  <si>
    <t>8.625 BOX</t>
  </si>
  <si>
    <t>Chichini French fries</t>
  </si>
  <si>
    <t>Chicken</t>
  </si>
  <si>
    <t>Juices</t>
  </si>
  <si>
    <t>12 OTR</t>
  </si>
  <si>
    <t>20 OTR</t>
  </si>
  <si>
    <t>Peanut Butter</t>
  </si>
  <si>
    <t>3 PCS</t>
  </si>
  <si>
    <t>96 PCS</t>
  </si>
  <si>
    <t>45 PCS</t>
  </si>
  <si>
    <t>9PCS</t>
  </si>
  <si>
    <t>29 PCS</t>
  </si>
  <si>
    <t>Awal Mango Pulp</t>
  </si>
  <si>
    <t>Sardine</t>
  </si>
  <si>
    <t>Coconut Milk</t>
  </si>
  <si>
    <t>12 PCS</t>
  </si>
  <si>
    <t>8 OTR</t>
  </si>
  <si>
    <t>18 PCS</t>
  </si>
  <si>
    <t xml:space="preserve">Tilapia </t>
  </si>
  <si>
    <t>32 BOX</t>
  </si>
  <si>
    <t>BABY SHRIPMP</t>
  </si>
  <si>
    <t>0.750 BOX</t>
  </si>
  <si>
    <t>0.500 BOX</t>
  </si>
  <si>
    <t>SCAMPI</t>
  </si>
  <si>
    <t>0.125 BOX</t>
  </si>
  <si>
    <t>PACIFIC MACHEREL 8/10</t>
  </si>
  <si>
    <t>275 BOX</t>
  </si>
  <si>
    <t>84 BOX</t>
  </si>
  <si>
    <t>85 BOX</t>
  </si>
  <si>
    <t>BATO FRENCH FRIES</t>
  </si>
  <si>
    <t>SALT</t>
  </si>
  <si>
    <t>7.166 BOX</t>
  </si>
  <si>
    <t>FIVE STAR CHOCOLATE</t>
  </si>
  <si>
    <t>Item No</t>
  </si>
  <si>
    <t>Total</t>
  </si>
  <si>
    <t>Sales man</t>
  </si>
  <si>
    <t>Quantity_text</t>
  </si>
  <si>
    <t>Quantity</t>
  </si>
  <si>
    <t>Unit</t>
  </si>
  <si>
    <t>BOX</t>
  </si>
  <si>
    <t>PCS</t>
  </si>
  <si>
    <t>POUCH</t>
  </si>
  <si>
    <t>KG</t>
  </si>
  <si>
    <t>OTR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</si>
</sst>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_(* #,##0.00_);_(* \(#,##0.00\);_(* &quot;-&quot;??_);_(@_)"/>
  </numFmts>
  <fonts count="5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2"/>
      <color theme="1"/>
      <name val="Verdana"/>
      <family val="2"/>
    </font>
    <font>
      <b/>
      <sz val="11"/>
      <color theme="1"/>
      <name val="Verdana"/>
      <family val="2"/>
    </font>
  </fonts>
  <fills count="4">
    <fill>
      <patternFill patternType="none"/>
    </fill>
    <fill>
      <patternFill patternType="gray125"/>
    </fill>
    <fill>
      <patternFill patternType="solid">
        <fgColor theme="6" tint="0.59999389629810485"/>
        <bgColor indexed="64"/>
      </patternFill>
    </fill>
    <fill>
      <patternFill patternType="solid">
        <fgColor theme="4" tint="0.59999389629810485"/>
        <bgColor indexed="64"/>
      </patternFill>
    </fill>
  </fills>
  <borders count="1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/>
      <top style="thin">
        <color indexed="64"/>
      </top>
      <bottom style="thin">
        <color indexed="64"/>
      </bottom>
      <diagonal/>
    </border>
  </borders>
  <cellStyleXfs count="2">
    <xf numFmtId="0" fontId="0" fillId="0" borderId="0"/>
    <xf numFmtId="164" fontId="1" fillId="0" borderId="0" applyFont="0" applyFill="0" applyBorder="0" applyAlignment="0" applyProtection="0"/>
  </cellStyleXfs>
  <cellXfs count="34">
    <xf numFmtId="0" fontId="0" fillId="0" borderId="0" xfId="0"/>
    <xf numFmtId="49" fontId="3" fillId="0" borderId="0" xfId="0" applyNumberFormat="1" applyFont="1" applyAlignment="1">
      <alignment horizontal="center" vertical="top"/>
    </xf>
    <xf numFmtId="0" fontId="2" fillId="0" borderId="1" xfId="0" applyFont="1" applyBorder="1"/>
    <xf numFmtId="0" fontId="2" fillId="0" borderId="1" xfId="0" applyFont="1" applyBorder="1" applyAlignment="1">
      <alignment horizontal="center" vertical="center"/>
    </xf>
    <xf numFmtId="0" fontId="2" fillId="0" borderId="1" xfId="0" applyFont="1" applyBorder="1" applyAlignment="1">
      <alignment horizontal="center"/>
    </xf>
    <xf numFmtId="0" fontId="2" fillId="0" borderId="0" xfId="0" applyFont="1"/>
    <xf numFmtId="0" fontId="0" fillId="0" borderId="1" xfId="0" applyBorder="1" applyAlignment="1">
      <alignment horizontal="center"/>
    </xf>
    <xf numFmtId="0" fontId="0" fillId="0" borderId="1" xfId="0" applyBorder="1"/>
    <xf numFmtId="164" fontId="0" fillId="0" borderId="1" xfId="1" applyFont="1" applyBorder="1"/>
    <xf numFmtId="164" fontId="0" fillId="0" borderId="1" xfId="1" applyFont="1" applyFill="1" applyBorder="1"/>
    <xf numFmtId="164" fontId="0" fillId="0" borderId="0" xfId="1" applyFont="1" applyBorder="1"/>
    <xf numFmtId="164" fontId="0" fillId="0" borderId="0" xfId="1" applyFont="1" applyFill="1" applyBorder="1"/>
    <xf numFmtId="164" fontId="2" fillId="0" borderId="1" xfId="0" applyNumberFormat="1" applyFont="1" applyBorder="1"/>
    <xf numFmtId="164" fontId="2" fillId="0" borderId="0" xfId="0" applyNumberFormat="1" applyFont="1"/>
    <xf numFmtId="0" fontId="0" fillId="0" borderId="0" xfId="0" applyAlignment="1">
      <alignment horizontal="center"/>
    </xf>
    <xf numFmtId="0" fontId="0" fillId="0" borderId="1" xfId="0" applyBorder="1" applyAlignment="1">
      <alignment horizontal="center" vertical="center"/>
    </xf>
    <xf numFmtId="0" fontId="0" fillId="0" borderId="2" xfId="0" applyBorder="1" applyAlignment="1">
      <alignment horizontal="center"/>
    </xf>
    <xf numFmtId="0" fontId="0" fillId="0" borderId="3" xfId="0" applyBorder="1" applyAlignment="1">
      <alignment horizontal="center"/>
    </xf>
    <xf numFmtId="0" fontId="0" fillId="0" borderId="4" xfId="0" applyBorder="1"/>
    <xf numFmtId="0" fontId="0" fillId="0" borderId="4" xfId="0" applyBorder="1" applyAlignment="1">
      <alignment horizontal="center"/>
    </xf>
    <xf numFmtId="0" fontId="0" fillId="0" borderId="7" xfId="0" applyBorder="1" applyAlignment="1">
      <alignment horizontal="center"/>
    </xf>
    <xf numFmtId="0" fontId="0" fillId="0" borderId="7" xfId="0" applyBorder="1"/>
    <xf numFmtId="0" fontId="2" fillId="2" borderId="8" xfId="0" applyFont="1" applyFill="1" applyBorder="1"/>
    <xf numFmtId="0" fontId="2" fillId="2" borderId="9" xfId="0" applyFont="1" applyFill="1" applyBorder="1"/>
    <xf numFmtId="0" fontId="2" fillId="2" borderId="9" xfId="0" applyFont="1" applyFill="1" applyBorder="1" applyAlignment="1">
      <alignment horizontal="center"/>
    </xf>
    <xf numFmtId="0" fontId="2" fillId="2" borderId="5" xfId="0" applyFont="1" applyFill="1" applyBorder="1"/>
    <xf numFmtId="0" fontId="0" fillId="0" borderId="10" xfId="0" applyBorder="1"/>
    <xf numFmtId="49" fontId="3" fillId="2" borderId="1" xfId="0" applyNumberFormat="1" applyFont="1" applyFill="1" applyBorder="1" applyAlignment="1">
      <alignment horizontal="center" vertical="top"/>
    </xf>
    <xf numFmtId="49" fontId="4" fillId="3" borderId="1" xfId="0" applyNumberFormat="1" applyFont="1" applyFill="1" applyBorder="1" applyAlignment="1">
      <alignment horizontal="center" vertical="top"/>
    </xf>
    <xf numFmtId="17" fontId="2" fillId="3" borderId="5" xfId="0" applyNumberFormat="1" applyFont="1" applyFill="1" applyBorder="1" applyAlignment="1">
      <alignment horizontal="center"/>
    </xf>
    <xf numFmtId="0" fontId="2" fillId="3" borderId="6" xfId="0" applyFont="1" applyFill="1" applyBorder="1" applyAlignment="1">
      <alignment horizontal="center"/>
    </xf>
    <xf numFmtId="0" fontId="0" fillId="0" borderId="7" xfId="0" applyBorder="1" applyAlignment="1">
      <alignment horizontal="center"/>
    </xf>
    <xf numFmtId="0" fontId="0" fillId="0" borderId="11" xfId="0" applyBorder="1" applyAlignment="1">
      <alignment horizontal="center"/>
    </xf>
    <xf numFmtId="0" fontId="0" fillId="0" borderId="2" xfId="0" applyBorder="1" applyAlignment="1">
      <alignment horizontal="center"/>
    </xf>
  </cellXfs>
  <cellStyles count="2">
    <cellStyle name="Comma" xfId="1" builtinId="3"/>
    <cellStyle name="Normal" xfId="0" builtinId="0"/>
  </cellStyles>
  <dxfs count="22">
    <dxf>
      <border diagonalUp="0" diagonalDown="0">
        <left style="thin">
          <color indexed="64"/>
        </left>
        <right/>
        <top style="thin">
          <color indexed="64"/>
        </top>
        <bottom style="thin">
          <color indexed="64"/>
        </bottom>
        <vertical/>
        <horizontal/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/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 outline="0">
        <bottom style="thin">
          <color indexed="64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fill>
        <patternFill patternType="solid">
          <fgColor indexed="64"/>
          <bgColor theme="6" tint="0.59999389629810485"/>
        </patternFill>
      </fill>
      <border diagonalUp="0" diagonalDown="0" outline="0">
        <left style="thin">
          <color indexed="64"/>
        </left>
        <right style="thin">
          <color indexed="64"/>
        </right>
        <top/>
        <bottom/>
      </border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connections" Target="connections.xml"/><Relationship Id="rId4" Type="http://schemas.openxmlformats.org/officeDocument/2006/relationships/theme" Target="theme/theme1.xml"/><Relationship Id="rId9" Type="http://schemas.openxmlformats.org/officeDocument/2006/relationships/customXml" Target="../customXml/item1.xml"/></Relationships>
</file>

<file path=xl/queryTables/queryTable1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ExternalData_2" connectionId="6" xr16:uid="{63BB701A-38D4-4159-9E6F-AAD838A0D018}" autoFormatId="16" applyNumberFormats="0" applyBorderFormats="0" applyFontFormats="0" applyPatternFormats="0" applyAlignmentFormats="0" applyWidthHeightFormats="0">
  <queryTableRefresh nextId="6">
    <queryTableFields count="5">
      <queryTableField id="1" name="Item No" tableColumnId="1"/>
      <queryTableField id="2" name="Product Name" tableColumnId="2"/>
      <queryTableField id="3" name="Sales man" tableColumnId="3"/>
      <queryTableField id="4" name="Quantity" tableColumnId="4"/>
      <queryTableField id="5" name="Unit" tableColumnId="5"/>
    </queryTableFields>
  </queryTableRefresh>
</queryTable>
</file>

<file path=xl/queryTables/queryTable2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ExternalData_1" connectionId="5" xr16:uid="{DE20DA35-35BB-4AD3-938C-68D7BEE05B04}" autoFormatId="16" applyNumberFormats="0" applyBorderFormats="0" applyFontFormats="0" applyPatternFormats="0" applyAlignmentFormats="0" applyWidthHeightFormats="0">
  <queryTableRefresh nextId="6">
    <queryTableFields count="4">
      <queryTableField id="1" name="Item No" tableColumnId="1"/>
      <queryTableField id="2" name="Product Name" tableColumnId="2"/>
      <queryTableField id="4" name="Attribute" tableColumnId="4"/>
      <queryTableField id="5" name="Value" tableColumnId="5"/>
    </queryTableFields>
    <queryTableDeletedFields count="1">
      <deletedField name="Direct Sale"/>
    </queryTableDeletedFields>
  </queryTableRefresh>
</queryTable>
</file>

<file path=xl/tables/_rels/table2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1.xml"/></Relationships>
</file>

<file path=xl/tables/_rels/table3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2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" xr:uid="{8DE93790-5F7E-4B78-8C01-26A41431EE18}" name="Table2" displayName="Table2" ref="A17:M56" totalsRowShown="0" headerRowDxfId="15" headerRowBorderDxfId="14" tableBorderDxfId="13">
  <autoFilter ref="A17:M56" xr:uid="{8DE93790-5F7E-4B78-8C01-26A41431EE18}"/>
  <tableColumns count="13">
    <tableColumn id="1" xr3:uid="{B9966FE8-EE02-419C-AA0B-BC2F4831AAB6}" name="Item No" dataDxfId="12"/>
    <tableColumn id="2" xr3:uid="{B6AC7BEF-D829-4461-8DB8-2D452665FE87}" name="Product Name" dataDxfId="11"/>
    <tableColumn id="3" xr3:uid="{363C39F8-3348-4130-9B34-5CF75C33396B}" name="Moni" dataDxfId="10"/>
    <tableColumn id="4" xr3:uid="{108A9FF9-97A3-4851-B742-D14E7B7182B1}" name="Muhsin" dataDxfId="9"/>
    <tableColumn id="5" xr3:uid="{DF570F61-AD06-43A0-B73E-4CC3E224B5D2}" name="Shamsudheen" dataDxfId="8"/>
    <tableColumn id="6" xr3:uid="{C0335D7C-4D93-4C06-8133-0B0300F1EB61}" name="Nazmul" dataDxfId="7"/>
    <tableColumn id="7" xr3:uid="{632C18B5-2645-4491-BCBA-E99E16975A60}" name="Anvar" dataDxfId="6"/>
    <tableColumn id="8" xr3:uid="{90F5FE98-0E1B-481C-8974-3F81AC4F510A}" name="Fayis" dataDxfId="5"/>
    <tableColumn id="9" xr3:uid="{9F1938E0-8D0E-40B1-866A-9B79483C49ED}" name="Kanakan" dataDxfId="4"/>
    <tableColumn id="10" xr3:uid="{87C3F65B-31FE-4208-8DCC-F40E1B029E87}" name="Musthafa" dataDxfId="3"/>
    <tableColumn id="11" xr3:uid="{05710455-CA11-45BB-B7F0-F323EAE862B0}" name="Sulaiman" dataDxfId="2"/>
    <tableColumn id="12" xr3:uid="{0FAC54DF-6572-4090-9B4C-999BF3711E2E}" name="Jasim" dataDxfId="1"/>
    <tableColumn id="13" xr3:uid="{A77EEB2A-29AB-4BE0-9216-9796C40BED5D}" name="Direct Sale" dataDxfId="0"/>
  </tableColumns>
  <tableStyleInfo name="TableStyleMedium2" showFirstColumn="0" showLastColumn="0" showRowStripes="1" showColumnStripes="0"/>
</table>
</file>

<file path=xl/tables/table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3" xr:uid="{5A646385-5C0C-4D01-B411-BB1C89D5C872}" name="Table2__5_1" displayName="Table2__5_1" ref="A1:E125" tableType="queryTable" totalsRowShown="0">
  <autoFilter ref="A1:E125" xr:uid="{5A646385-5C0C-4D01-B411-BB1C89D5C872}"/>
  <tableColumns count="5">
    <tableColumn id="1" xr3:uid="{163689B8-5280-4B83-A9C2-CC5CE2B7D1A9}" uniqueName="1" name="Item No" queryTableFieldId="1"/>
    <tableColumn id="2" xr3:uid="{98B89213-DB9C-4DC1-AA54-C530B6B75172}" uniqueName="2" name="Product Name" queryTableFieldId="2" dataDxfId="21"/>
    <tableColumn id="3" xr3:uid="{F56F640F-7157-4A28-868F-03FAEDE02689}" uniqueName="3" name="Sales man" queryTableFieldId="3" dataDxfId="20"/>
    <tableColumn id="4" xr3:uid="{B4FB2110-298A-4989-A710-1F56D4DAAC65}" uniqueName="4" name="Quantity" queryTableFieldId="4"/>
    <tableColumn id="5" xr3:uid="{060A681F-4D4D-48AE-8F06-7CFC3CFD2613}" uniqueName="5" name="Unit" queryTableFieldId="5" dataDxfId="19"/>
  </tableColumns>
  <tableStyleInfo name="TableStyleMedium7" showFirstColumn="0" showLastColumn="0" showRowStripes="1" showColumnStripes="0"/>
</table>
</file>

<file path=xl/tables/table3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3838D323-C858-4D95-845F-D3701D9E19DF}" name="Table2__5" displayName="Table2__5" ref="A1:D125" tableType="queryTable" totalsRowShown="0">
  <autoFilter ref="A1:D125" xr:uid="{3838D323-C858-4D95-845F-D3701D9E19DF}"/>
  <tableColumns count="4">
    <tableColumn id="1" xr3:uid="{8AB2F526-7329-4190-B14B-7E02C018E86B}" uniqueName="1" name="Item No" queryTableFieldId="1"/>
    <tableColumn id="2" xr3:uid="{88115A14-3724-49F6-AC46-D1741DD16697}" uniqueName="2" name="Product Name" queryTableFieldId="2" dataDxfId="18"/>
    <tableColumn id="4" xr3:uid="{7624EE1C-C824-4FD8-85C4-27B5EE166466}" uniqueName="4" name="Sales man" queryTableFieldId="4" dataDxfId="17"/>
    <tableColumn id="5" xr3:uid="{F1493FA3-2F5B-476F-8865-71C5CF46ED71}" uniqueName="5" name="Quantity_text" queryTableFieldId="5" dataDxfId="16"/>
  </tableColumns>
  <tableStyleInfo name="TableStyleMedium7" showFirstColumn="0" showLastColumn="0" showRowStripes="1" showColumnStripes="0"/>
</table>
</file>

<file path=xl/theme/theme1.xml><?xml version="1.0" encoding="utf-8"?>
<a:theme xmlns:a="http://schemas.openxmlformats.org/drawingml/2006/main" name="Office 2013 - 2022 Theme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table" Target="../tables/table1.xml"/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table" Target="../tables/table2.xml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table" Target="../tables/table3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P56"/>
  <sheetViews>
    <sheetView tabSelected="1" zoomScale="86" zoomScaleNormal="99" workbookViewId="0">
      <selection activeCell="A46" sqref="A46:XFD46"/>
    </sheetView>
  </sheetViews>
  <sheetFormatPr defaultRowHeight="14.4" x14ac:dyDescent="0.3"/>
  <cols>
    <col min="2" max="2" width="23.88671875" customWidth="1"/>
    <col min="3" max="3" width="13.88671875" customWidth="1"/>
    <col min="4" max="4" width="14.6640625" customWidth="1"/>
    <col min="5" max="5" width="16" customWidth="1"/>
    <col min="6" max="6" width="14.88671875" customWidth="1"/>
    <col min="7" max="7" width="14.33203125" customWidth="1"/>
    <col min="8" max="8" width="16.44140625" customWidth="1"/>
    <col min="9" max="9" width="14.5546875" customWidth="1"/>
    <col min="10" max="10" width="15.109375" customWidth="1"/>
    <col min="11" max="11" width="15.6640625" customWidth="1"/>
    <col min="12" max="12" width="14.5546875" customWidth="1"/>
    <col min="13" max="13" width="14.44140625" customWidth="1"/>
    <col min="17" max="17" width="10.5546875" bestFit="1" customWidth="1"/>
  </cols>
  <sheetData>
    <row r="1" spans="1:16" ht="16.2" x14ac:dyDescent="0.3">
      <c r="A1" s="27" t="s">
        <v>0</v>
      </c>
      <c r="B1" s="27"/>
      <c r="C1" s="27"/>
      <c r="D1" s="27"/>
      <c r="E1" s="27"/>
      <c r="F1" s="27"/>
      <c r="G1" s="1"/>
      <c r="H1" s="1"/>
      <c r="I1" s="1"/>
      <c r="J1" s="1"/>
      <c r="K1" s="1"/>
      <c r="L1" s="1"/>
    </row>
    <row r="2" spans="1:16" ht="16.2" x14ac:dyDescent="0.3">
      <c r="A2" s="28" t="s">
        <v>1</v>
      </c>
      <c r="B2" s="28"/>
      <c r="C2" s="28"/>
      <c r="D2" s="28"/>
      <c r="E2" s="28"/>
      <c r="F2" s="28"/>
      <c r="G2" s="1"/>
      <c r="H2" s="1"/>
      <c r="I2" s="1"/>
      <c r="J2" s="1"/>
      <c r="K2" s="1"/>
      <c r="L2" s="1"/>
    </row>
    <row r="3" spans="1:16" x14ac:dyDescent="0.3">
      <c r="A3" s="2" t="s">
        <v>2</v>
      </c>
      <c r="B3" s="2" t="s">
        <v>3</v>
      </c>
      <c r="C3" s="2" t="s">
        <v>4</v>
      </c>
      <c r="D3" s="3" t="s">
        <v>5</v>
      </c>
      <c r="E3" s="4" t="s">
        <v>6</v>
      </c>
      <c r="F3" s="2" t="s">
        <v>7</v>
      </c>
      <c r="H3" s="5"/>
      <c r="I3" s="5"/>
      <c r="J3" s="5"/>
      <c r="K3" s="5"/>
      <c r="L3" s="5"/>
    </row>
    <row r="4" spans="1:16" x14ac:dyDescent="0.3">
      <c r="A4" s="6">
        <v>1</v>
      </c>
      <c r="B4" s="7" t="s">
        <v>8</v>
      </c>
      <c r="C4" s="8">
        <v>200000</v>
      </c>
      <c r="D4" s="9">
        <f>55515+3429</f>
        <v>58944</v>
      </c>
      <c r="E4" s="8">
        <v>81462</v>
      </c>
      <c r="F4" s="8">
        <f>C4-E4</f>
        <v>118538</v>
      </c>
      <c r="H4" s="10"/>
      <c r="I4" s="10"/>
      <c r="J4" s="10"/>
      <c r="K4" s="11"/>
      <c r="L4" s="11"/>
    </row>
    <row r="5" spans="1:16" x14ac:dyDescent="0.3">
      <c r="A5" s="6">
        <v>2</v>
      </c>
      <c r="B5" s="7" t="s">
        <v>9</v>
      </c>
      <c r="C5" s="8">
        <v>200000</v>
      </c>
      <c r="D5" s="8">
        <f>127716.25+3836</f>
        <v>131552.25</v>
      </c>
      <c r="E5" s="8">
        <f>69368.26+350+144+48+375</f>
        <v>70285.259999999995</v>
      </c>
      <c r="F5" s="8">
        <f>C5-E5</f>
        <v>129714.74</v>
      </c>
      <c r="H5" s="10"/>
      <c r="I5" s="10"/>
      <c r="J5" s="10"/>
      <c r="K5" s="11"/>
      <c r="L5" s="11"/>
    </row>
    <row r="6" spans="1:16" x14ac:dyDescent="0.3">
      <c r="A6" s="6">
        <v>3</v>
      </c>
      <c r="B6" s="7" t="s">
        <v>10</v>
      </c>
      <c r="C6" s="8">
        <f>C5</f>
        <v>200000</v>
      </c>
      <c r="D6" s="8">
        <f>38463+55</f>
        <v>38518</v>
      </c>
      <c r="E6" s="8">
        <f>1640+170</f>
        <v>1810</v>
      </c>
      <c r="F6" s="8">
        <f t="shared" ref="F6:F7" si="0">C6-E6</f>
        <v>198190</v>
      </c>
      <c r="H6" s="10"/>
      <c r="I6" s="10"/>
      <c r="J6" s="10"/>
      <c r="K6" s="11"/>
      <c r="L6" s="11"/>
    </row>
    <row r="7" spans="1:16" x14ac:dyDescent="0.3">
      <c r="A7" s="6">
        <v>4</v>
      </c>
      <c r="B7" s="7" t="s">
        <v>11</v>
      </c>
      <c r="C7" s="8">
        <f>C6</f>
        <v>200000</v>
      </c>
      <c r="D7" s="8">
        <f>41368+3252</f>
        <v>44620</v>
      </c>
      <c r="E7" s="8">
        <v>21472</v>
      </c>
      <c r="F7" s="8">
        <f t="shared" si="0"/>
        <v>178528</v>
      </c>
      <c r="H7" s="10"/>
      <c r="I7" s="10"/>
      <c r="J7" s="10"/>
      <c r="K7" s="11"/>
      <c r="L7" s="11"/>
    </row>
    <row r="8" spans="1:16" x14ac:dyDescent="0.3">
      <c r="A8" s="6">
        <v>5</v>
      </c>
      <c r="B8" s="7" t="s">
        <v>12</v>
      </c>
      <c r="C8" s="8">
        <v>200000</v>
      </c>
      <c r="D8" s="8">
        <f>57269+3316</f>
        <v>60585</v>
      </c>
      <c r="E8" s="8">
        <f>70655.5+2742</f>
        <v>73397.5</v>
      </c>
      <c r="F8" s="8">
        <f t="shared" ref="F8:F13" si="1">C8-E8</f>
        <v>126602.5</v>
      </c>
      <c r="H8" s="10"/>
      <c r="I8" s="10"/>
      <c r="J8" s="10"/>
      <c r="K8" s="11"/>
      <c r="L8" s="11"/>
    </row>
    <row r="9" spans="1:16" x14ac:dyDescent="0.3">
      <c r="A9" s="6">
        <v>6</v>
      </c>
      <c r="B9" s="7" t="s">
        <v>13</v>
      </c>
      <c r="C9" s="8">
        <v>200000</v>
      </c>
      <c r="D9" s="8">
        <f>53159+4647</f>
        <v>57806</v>
      </c>
      <c r="E9" s="8">
        <v>12494</v>
      </c>
      <c r="F9" s="8">
        <f t="shared" si="1"/>
        <v>187506</v>
      </c>
      <c r="H9" s="10"/>
      <c r="I9" s="10"/>
      <c r="J9" s="10"/>
      <c r="K9" s="11"/>
      <c r="L9" s="11"/>
      <c r="P9" t="s">
        <v>14</v>
      </c>
    </row>
    <row r="10" spans="1:16" x14ac:dyDescent="0.3">
      <c r="A10" s="6">
        <v>7</v>
      </c>
      <c r="B10" s="7" t="s">
        <v>15</v>
      </c>
      <c r="C10" s="8">
        <v>200000</v>
      </c>
      <c r="D10" s="8">
        <f>43165+7395</f>
        <v>50560</v>
      </c>
      <c r="E10" s="8">
        <f>30152+3381</f>
        <v>33533</v>
      </c>
      <c r="F10" s="8">
        <f t="shared" si="1"/>
        <v>166467</v>
      </c>
      <c r="H10" s="10"/>
      <c r="I10" s="10"/>
      <c r="J10" s="10"/>
      <c r="K10" s="11"/>
      <c r="L10" s="11"/>
    </row>
    <row r="11" spans="1:16" x14ac:dyDescent="0.3">
      <c r="A11" s="6">
        <v>8</v>
      </c>
      <c r="B11" s="7" t="s">
        <v>16</v>
      </c>
      <c r="C11" s="8">
        <v>200000</v>
      </c>
      <c r="D11" s="8">
        <f>32279.5+2967</f>
        <v>35246.5</v>
      </c>
      <c r="E11" s="8">
        <f>23435+1209</f>
        <v>24644</v>
      </c>
      <c r="F11" s="8">
        <f t="shared" si="1"/>
        <v>175356</v>
      </c>
      <c r="H11" s="10"/>
      <c r="I11" s="10"/>
      <c r="J11" s="10"/>
      <c r="K11" s="11"/>
      <c r="L11" s="11"/>
    </row>
    <row r="12" spans="1:16" x14ac:dyDescent="0.3">
      <c r="A12" s="6">
        <v>9</v>
      </c>
      <c r="B12" s="7" t="s">
        <v>17</v>
      </c>
      <c r="C12" s="8">
        <v>200000</v>
      </c>
      <c r="D12" s="8">
        <f>27987+2850</f>
        <v>30837</v>
      </c>
      <c r="E12" s="8">
        <f>35872+2958</f>
        <v>38830</v>
      </c>
      <c r="F12" s="8">
        <f t="shared" si="1"/>
        <v>161170</v>
      </c>
      <c r="H12" s="10"/>
      <c r="I12" s="10"/>
      <c r="J12" s="10"/>
      <c r="K12" s="11"/>
      <c r="L12" s="11"/>
    </row>
    <row r="13" spans="1:16" x14ac:dyDescent="0.3">
      <c r="A13" s="6">
        <v>10</v>
      </c>
      <c r="B13" s="7" t="s">
        <v>18</v>
      </c>
      <c r="C13" s="8">
        <f>C12</f>
        <v>200000</v>
      </c>
      <c r="D13" s="8">
        <f>16790+4160</f>
        <v>20950</v>
      </c>
      <c r="E13" s="8">
        <v>90652</v>
      </c>
      <c r="F13" s="8">
        <f t="shared" si="1"/>
        <v>109348</v>
      </c>
      <c r="H13" s="10"/>
      <c r="I13" s="10"/>
      <c r="J13" s="10"/>
      <c r="K13" s="11"/>
      <c r="L13" s="11"/>
    </row>
    <row r="14" spans="1:16" x14ac:dyDescent="0.3">
      <c r="A14" s="31" t="s">
        <v>139</v>
      </c>
      <c r="B14" s="32"/>
      <c r="C14" s="33"/>
      <c r="D14" s="12">
        <f>SUM(D4:D13)</f>
        <v>529618.75</v>
      </c>
      <c r="E14" s="12">
        <f>SUM(E4:E13)</f>
        <v>448579.76</v>
      </c>
      <c r="F14" s="12">
        <f>SUM(F4:F13)</f>
        <v>1551420.24</v>
      </c>
      <c r="H14" s="13"/>
      <c r="I14" s="10"/>
      <c r="J14" s="13"/>
      <c r="K14" s="13"/>
      <c r="L14" s="13"/>
    </row>
    <row r="16" spans="1:16" x14ac:dyDescent="0.3">
      <c r="A16" s="29">
        <v>45717</v>
      </c>
      <c r="B16" s="30"/>
      <c r="C16" s="30"/>
      <c r="D16" s="30"/>
      <c r="E16" s="30"/>
      <c r="F16" s="30"/>
      <c r="G16" s="30"/>
      <c r="H16" s="30"/>
      <c r="I16" s="30"/>
      <c r="J16" s="30"/>
      <c r="K16" s="30"/>
      <c r="L16" s="30"/>
      <c r="M16" s="30"/>
    </row>
    <row r="17" spans="1:13" x14ac:dyDescent="0.3">
      <c r="A17" s="22" t="s">
        <v>138</v>
      </c>
      <c r="B17" s="23" t="s">
        <v>19</v>
      </c>
      <c r="C17" s="23" t="s">
        <v>8</v>
      </c>
      <c r="D17" s="23" t="s">
        <v>9</v>
      </c>
      <c r="E17" s="23" t="s">
        <v>10</v>
      </c>
      <c r="F17" s="23" t="s">
        <v>11</v>
      </c>
      <c r="G17" s="23" t="s">
        <v>12</v>
      </c>
      <c r="H17" s="23" t="s">
        <v>13</v>
      </c>
      <c r="I17" s="23" t="s">
        <v>15</v>
      </c>
      <c r="J17" s="23" t="s">
        <v>16</v>
      </c>
      <c r="K17" s="23" t="s">
        <v>17</v>
      </c>
      <c r="L17" s="24" t="s">
        <v>18</v>
      </c>
      <c r="M17" s="25" t="s">
        <v>20</v>
      </c>
    </row>
    <row r="18" spans="1:13" x14ac:dyDescent="0.3">
      <c r="A18" s="16">
        <v>1</v>
      </c>
      <c r="B18" s="7" t="s">
        <v>21</v>
      </c>
      <c r="C18" s="6" t="s">
        <v>22</v>
      </c>
      <c r="D18" s="14" t="s">
        <v>23</v>
      </c>
      <c r="E18" s="6"/>
      <c r="F18" s="6" t="s">
        <v>24</v>
      </c>
      <c r="G18" s="6" t="s">
        <v>25</v>
      </c>
      <c r="H18" s="6"/>
      <c r="I18" s="6" t="s">
        <v>26</v>
      </c>
      <c r="J18" s="6"/>
      <c r="K18" s="7"/>
      <c r="L18" s="7"/>
      <c r="M18" s="20"/>
    </row>
    <row r="19" spans="1:13" x14ac:dyDescent="0.3">
      <c r="A19" s="16">
        <v>2</v>
      </c>
      <c r="B19" s="7" t="s">
        <v>27</v>
      </c>
      <c r="C19" s="6"/>
      <c r="D19" s="6" t="s">
        <v>28</v>
      </c>
      <c r="E19" s="6"/>
      <c r="F19" s="6"/>
      <c r="G19" s="6" t="s">
        <v>29</v>
      </c>
      <c r="H19" s="6" t="s">
        <v>30</v>
      </c>
      <c r="I19" s="6" t="s">
        <v>31</v>
      </c>
      <c r="J19" s="6" t="s">
        <v>32</v>
      </c>
      <c r="K19" s="6" t="s">
        <v>33</v>
      </c>
      <c r="L19" s="6"/>
      <c r="M19" s="20"/>
    </row>
    <row r="20" spans="1:13" x14ac:dyDescent="0.3">
      <c r="A20" s="16">
        <v>3</v>
      </c>
      <c r="B20" s="7" t="s">
        <v>34</v>
      </c>
      <c r="C20" s="6"/>
      <c r="D20" s="6"/>
      <c r="E20" s="6"/>
      <c r="F20" s="6"/>
      <c r="G20" s="7"/>
      <c r="H20" s="6"/>
      <c r="I20" s="7"/>
      <c r="J20" s="7"/>
      <c r="K20" s="7"/>
      <c r="L20" s="7"/>
      <c r="M20" s="21"/>
    </row>
    <row r="21" spans="1:13" x14ac:dyDescent="0.3">
      <c r="A21" s="16">
        <v>4</v>
      </c>
      <c r="B21" s="7" t="s">
        <v>35</v>
      </c>
      <c r="C21" s="6" t="s">
        <v>26</v>
      </c>
      <c r="D21" s="6" t="s">
        <v>36</v>
      </c>
      <c r="E21" s="6"/>
      <c r="F21" s="6"/>
      <c r="G21" s="6" t="s">
        <v>37</v>
      </c>
      <c r="H21" s="6" t="s">
        <v>23</v>
      </c>
      <c r="I21" s="7"/>
      <c r="J21" s="6"/>
      <c r="K21" s="7"/>
      <c r="L21" s="6" t="s">
        <v>38</v>
      </c>
      <c r="M21" s="21"/>
    </row>
    <row r="22" spans="1:13" x14ac:dyDescent="0.3">
      <c r="A22" s="16">
        <v>5</v>
      </c>
      <c r="B22" s="7" t="s">
        <v>39</v>
      </c>
      <c r="C22" s="6" t="s">
        <v>40</v>
      </c>
      <c r="D22" s="6" t="s">
        <v>41</v>
      </c>
      <c r="E22" s="6"/>
      <c r="F22" s="6" t="s">
        <v>42</v>
      </c>
      <c r="G22" s="6" t="s">
        <v>43</v>
      </c>
      <c r="H22" s="7"/>
      <c r="I22" s="7"/>
      <c r="J22" s="7"/>
      <c r="K22" s="6" t="s">
        <v>23</v>
      </c>
      <c r="L22" s="7"/>
      <c r="M22" s="21"/>
    </row>
    <row r="23" spans="1:13" x14ac:dyDescent="0.3">
      <c r="A23" s="16">
        <v>6</v>
      </c>
      <c r="B23" s="7" t="s">
        <v>44</v>
      </c>
      <c r="C23" s="6" t="s">
        <v>45</v>
      </c>
      <c r="D23" s="6" t="s">
        <v>46</v>
      </c>
      <c r="E23" s="6"/>
      <c r="F23" s="6"/>
      <c r="G23" s="15" t="s">
        <v>47</v>
      </c>
      <c r="H23" s="6" t="s">
        <v>48</v>
      </c>
      <c r="I23" s="6" t="s">
        <v>49</v>
      </c>
      <c r="J23" s="15" t="s">
        <v>50</v>
      </c>
      <c r="K23" s="6" t="s">
        <v>51</v>
      </c>
      <c r="L23" s="6" t="s">
        <v>52</v>
      </c>
      <c r="M23" s="20"/>
    </row>
    <row r="24" spans="1:13" x14ac:dyDescent="0.3">
      <c r="A24" s="16">
        <v>7</v>
      </c>
      <c r="B24" s="7" t="s">
        <v>53</v>
      </c>
      <c r="C24" s="6"/>
      <c r="D24" s="6" t="s">
        <v>54</v>
      </c>
      <c r="E24" s="6"/>
      <c r="F24" s="6"/>
      <c r="G24" s="6" t="s">
        <v>55</v>
      </c>
      <c r="H24" s="6" t="s">
        <v>56</v>
      </c>
      <c r="I24" s="6" t="s">
        <v>57</v>
      </c>
      <c r="J24" s="6"/>
      <c r="K24" s="6" t="s">
        <v>58</v>
      </c>
      <c r="L24" s="6" t="s">
        <v>56</v>
      </c>
      <c r="M24" s="20"/>
    </row>
    <row r="25" spans="1:13" x14ac:dyDescent="0.3">
      <c r="A25" s="16">
        <v>2</v>
      </c>
      <c r="B25" s="7" t="s">
        <v>59</v>
      </c>
      <c r="C25" s="6"/>
      <c r="D25" s="6"/>
      <c r="E25" s="6"/>
      <c r="F25" s="6"/>
      <c r="G25" s="6" t="s">
        <v>60</v>
      </c>
      <c r="H25" s="6" t="s">
        <v>61</v>
      </c>
      <c r="I25" s="6" t="s">
        <v>62</v>
      </c>
      <c r="J25" s="6"/>
      <c r="K25" s="6" t="s">
        <v>58</v>
      </c>
      <c r="L25" s="6" t="s">
        <v>63</v>
      </c>
      <c r="M25" s="20"/>
    </row>
    <row r="26" spans="1:13" x14ac:dyDescent="0.3">
      <c r="A26" s="16">
        <v>9</v>
      </c>
      <c r="B26" s="7" t="s">
        <v>64</v>
      </c>
      <c r="C26" s="6"/>
      <c r="D26" s="6" t="s">
        <v>65</v>
      </c>
      <c r="E26" s="7"/>
      <c r="F26" s="7"/>
      <c r="G26" s="6"/>
      <c r="H26" s="7"/>
      <c r="I26" s="7"/>
      <c r="J26" s="6"/>
      <c r="K26" s="7"/>
      <c r="L26" s="7"/>
      <c r="M26" s="21"/>
    </row>
    <row r="27" spans="1:13" x14ac:dyDescent="0.3">
      <c r="A27" s="16">
        <v>10</v>
      </c>
      <c r="B27" s="7" t="s">
        <v>66</v>
      </c>
      <c r="C27" s="6"/>
      <c r="D27" s="6" t="s">
        <v>42</v>
      </c>
      <c r="E27" s="6"/>
      <c r="F27" s="6" t="s">
        <v>37</v>
      </c>
      <c r="G27" s="7"/>
      <c r="H27" s="15"/>
      <c r="I27" s="6"/>
      <c r="J27" s="7"/>
      <c r="K27" s="7"/>
      <c r="L27" s="7"/>
      <c r="M27" s="21"/>
    </row>
    <row r="28" spans="1:13" x14ac:dyDescent="0.3">
      <c r="A28" s="16">
        <v>11</v>
      </c>
      <c r="B28" s="7" t="s">
        <v>67</v>
      </c>
      <c r="C28" s="6"/>
      <c r="D28" s="6"/>
      <c r="E28" s="7"/>
      <c r="F28" s="7"/>
      <c r="G28" s="15" t="s">
        <v>42</v>
      </c>
      <c r="H28" s="7"/>
      <c r="I28" s="7"/>
      <c r="J28" s="15" t="s">
        <v>45</v>
      </c>
      <c r="K28" s="7"/>
      <c r="L28" s="6"/>
      <c r="M28" s="21"/>
    </row>
    <row r="29" spans="1:13" x14ac:dyDescent="0.3">
      <c r="A29" s="16">
        <v>12</v>
      </c>
      <c r="B29" s="7" t="s">
        <v>68</v>
      </c>
      <c r="C29" s="6" t="s">
        <v>42</v>
      </c>
      <c r="D29" s="6" t="s">
        <v>30</v>
      </c>
      <c r="E29" s="6" t="s">
        <v>23</v>
      </c>
      <c r="F29" s="6" t="s">
        <v>33</v>
      </c>
      <c r="G29" s="15" t="s">
        <v>42</v>
      </c>
      <c r="H29" s="6"/>
      <c r="I29" s="7"/>
      <c r="J29" s="15" t="s">
        <v>69</v>
      </c>
      <c r="K29" s="15" t="s">
        <v>26</v>
      </c>
      <c r="L29" s="15"/>
      <c r="M29" s="21"/>
    </row>
    <row r="30" spans="1:13" x14ac:dyDescent="0.3">
      <c r="A30" s="16">
        <v>13</v>
      </c>
      <c r="B30" s="7" t="s">
        <v>70</v>
      </c>
      <c r="C30" s="6"/>
      <c r="D30" s="6"/>
      <c r="E30" s="6"/>
      <c r="F30" s="7"/>
      <c r="G30" s="6" t="s">
        <v>42</v>
      </c>
      <c r="H30" s="15"/>
      <c r="I30" s="7"/>
      <c r="J30" s="15"/>
      <c r="K30" s="7"/>
      <c r="L30" s="7"/>
      <c r="M30" s="21"/>
    </row>
    <row r="31" spans="1:13" x14ac:dyDescent="0.3">
      <c r="A31" s="16">
        <v>14</v>
      </c>
      <c r="B31" s="7" t="s">
        <v>71</v>
      </c>
      <c r="C31" s="6"/>
      <c r="D31" s="6" t="s">
        <v>72</v>
      </c>
      <c r="E31" s="6"/>
      <c r="F31" s="6"/>
      <c r="G31" s="7"/>
      <c r="H31" s="6"/>
      <c r="I31" s="7"/>
      <c r="J31" s="7"/>
      <c r="K31" s="7"/>
      <c r="L31" s="7"/>
      <c r="M31" s="21"/>
    </row>
    <row r="32" spans="1:13" x14ac:dyDescent="0.3">
      <c r="A32" s="16">
        <v>15</v>
      </c>
      <c r="B32" s="7" t="s">
        <v>73</v>
      </c>
      <c r="C32" s="6" t="s">
        <v>74</v>
      </c>
      <c r="D32" s="6" t="s">
        <v>75</v>
      </c>
      <c r="E32" s="6" t="s">
        <v>45</v>
      </c>
      <c r="F32" s="6" t="s">
        <v>76</v>
      </c>
      <c r="G32" s="6" t="s">
        <v>25</v>
      </c>
      <c r="H32" s="6"/>
      <c r="I32" s="7"/>
      <c r="J32" s="7"/>
      <c r="K32" s="7"/>
      <c r="L32" s="6" t="s">
        <v>65</v>
      </c>
      <c r="M32" s="21"/>
    </row>
    <row r="33" spans="1:13" x14ac:dyDescent="0.3">
      <c r="A33" s="16">
        <v>16</v>
      </c>
      <c r="B33" s="7" t="s">
        <v>77</v>
      </c>
      <c r="C33" s="6"/>
      <c r="D33" s="6"/>
      <c r="E33" s="7"/>
      <c r="F33" s="7"/>
      <c r="G33" s="7"/>
      <c r="H33" s="7"/>
      <c r="I33" s="7"/>
      <c r="J33" s="7"/>
      <c r="K33" s="7"/>
      <c r="L33" s="7"/>
      <c r="M33" s="21"/>
    </row>
    <row r="34" spans="1:13" x14ac:dyDescent="0.3">
      <c r="A34" s="16">
        <v>17</v>
      </c>
      <c r="B34" s="7" t="s">
        <v>78</v>
      </c>
      <c r="C34" s="7"/>
      <c r="D34" s="6" t="s">
        <v>79</v>
      </c>
      <c r="E34" s="7"/>
      <c r="F34" s="7"/>
      <c r="G34" s="7"/>
      <c r="H34" s="7"/>
      <c r="I34" s="7"/>
      <c r="J34" s="7"/>
      <c r="K34" s="7"/>
      <c r="L34" s="7"/>
      <c r="M34" s="21"/>
    </row>
    <row r="35" spans="1:13" x14ac:dyDescent="0.3">
      <c r="A35" s="16">
        <v>18</v>
      </c>
      <c r="B35" s="7" t="s">
        <v>80</v>
      </c>
      <c r="C35" s="6"/>
      <c r="D35" s="6" t="s">
        <v>81</v>
      </c>
      <c r="E35" s="7"/>
      <c r="F35" s="7"/>
      <c r="G35" s="6" t="s">
        <v>82</v>
      </c>
      <c r="H35" s="6" t="s">
        <v>83</v>
      </c>
      <c r="I35" s="6"/>
      <c r="J35" s="6" t="s">
        <v>83</v>
      </c>
      <c r="K35" s="6"/>
      <c r="L35" s="6"/>
      <c r="M35" s="21"/>
    </row>
    <row r="36" spans="1:13" x14ac:dyDescent="0.3">
      <c r="A36" s="16">
        <v>19</v>
      </c>
      <c r="B36" s="7" t="s">
        <v>84</v>
      </c>
      <c r="C36" s="6"/>
      <c r="D36" s="6"/>
      <c r="E36" s="7"/>
      <c r="F36" s="7"/>
      <c r="G36" s="7"/>
      <c r="H36" s="7"/>
      <c r="I36" s="7"/>
      <c r="J36" s="7"/>
      <c r="K36" s="7"/>
      <c r="L36" s="7"/>
      <c r="M36" s="21"/>
    </row>
    <row r="37" spans="1:13" x14ac:dyDescent="0.3">
      <c r="A37" s="16">
        <v>20</v>
      </c>
      <c r="B37" s="7" t="s">
        <v>85</v>
      </c>
      <c r="C37" s="6"/>
      <c r="D37" s="6" t="s">
        <v>86</v>
      </c>
      <c r="E37" s="7"/>
      <c r="F37" s="7"/>
      <c r="G37" s="6" t="s">
        <v>87</v>
      </c>
      <c r="H37" s="6"/>
      <c r="I37" s="6" t="s">
        <v>88</v>
      </c>
      <c r="J37" s="6" t="s">
        <v>89</v>
      </c>
      <c r="K37" s="6" t="s">
        <v>90</v>
      </c>
      <c r="L37" s="6"/>
      <c r="M37" s="21"/>
    </row>
    <row r="38" spans="1:13" x14ac:dyDescent="0.3">
      <c r="A38" s="16">
        <v>21</v>
      </c>
      <c r="B38" s="7" t="s">
        <v>91</v>
      </c>
      <c r="C38" s="6"/>
      <c r="D38" s="6"/>
      <c r="E38" s="7"/>
      <c r="F38" s="7"/>
      <c r="G38" s="7"/>
      <c r="H38" s="7"/>
      <c r="I38" s="7"/>
      <c r="J38" s="7"/>
      <c r="K38" s="7"/>
      <c r="L38" s="7"/>
      <c r="M38" s="21"/>
    </row>
    <row r="39" spans="1:13" x14ac:dyDescent="0.3">
      <c r="A39" s="16">
        <v>22</v>
      </c>
      <c r="B39" s="7" t="s">
        <v>92</v>
      </c>
      <c r="C39" s="7"/>
      <c r="D39" s="6"/>
      <c r="E39" s="7"/>
      <c r="F39" s="7"/>
      <c r="G39" s="7"/>
      <c r="H39" s="6"/>
      <c r="I39" s="6"/>
      <c r="J39" s="7"/>
      <c r="K39" s="7"/>
      <c r="L39" s="7"/>
      <c r="M39" s="21"/>
    </row>
    <row r="40" spans="1:13" x14ac:dyDescent="0.3">
      <c r="A40" s="16">
        <v>23</v>
      </c>
      <c r="B40" s="7" t="s">
        <v>93</v>
      </c>
      <c r="C40" s="6" t="s">
        <v>42</v>
      </c>
      <c r="D40" s="6" t="s">
        <v>94</v>
      </c>
      <c r="E40" s="6"/>
      <c r="F40" s="7"/>
      <c r="G40" s="15" t="s">
        <v>95</v>
      </c>
      <c r="H40" s="7"/>
      <c r="I40" s="6" t="s">
        <v>42</v>
      </c>
      <c r="J40" s="15" t="s">
        <v>96</v>
      </c>
      <c r="K40" s="7"/>
      <c r="L40" s="6" t="s">
        <v>42</v>
      </c>
      <c r="M40" s="21"/>
    </row>
    <row r="41" spans="1:13" ht="16.5" customHeight="1" x14ac:dyDescent="0.3">
      <c r="A41" s="16">
        <v>24</v>
      </c>
      <c r="B41" s="7" t="s">
        <v>97</v>
      </c>
      <c r="C41" s="7"/>
      <c r="D41" s="6"/>
      <c r="E41" s="7"/>
      <c r="F41" s="7"/>
      <c r="G41" s="6"/>
      <c r="H41" s="6" t="s">
        <v>30</v>
      </c>
      <c r="I41" s="6"/>
      <c r="J41" s="6" t="s">
        <v>42</v>
      </c>
      <c r="K41" s="6" t="s">
        <v>98</v>
      </c>
      <c r="L41" s="6"/>
      <c r="M41" s="21"/>
    </row>
    <row r="42" spans="1:13" x14ac:dyDescent="0.3">
      <c r="A42" s="16">
        <v>25</v>
      </c>
      <c r="B42" s="7" t="s">
        <v>99</v>
      </c>
      <c r="C42" s="6"/>
      <c r="D42" s="6" t="s">
        <v>100</v>
      </c>
      <c r="E42" s="7"/>
      <c r="F42" s="6"/>
      <c r="G42" s="6" t="s">
        <v>101</v>
      </c>
      <c r="H42" s="6" t="s">
        <v>102</v>
      </c>
      <c r="I42" s="6" t="s">
        <v>103</v>
      </c>
      <c r="J42" s="6" t="s">
        <v>104</v>
      </c>
      <c r="K42" s="6" t="s">
        <v>69</v>
      </c>
      <c r="L42" s="6" t="s">
        <v>105</v>
      </c>
      <c r="M42" s="21"/>
    </row>
    <row r="43" spans="1:13" x14ac:dyDescent="0.3">
      <c r="A43" s="16">
        <v>26</v>
      </c>
      <c r="B43" s="7" t="s">
        <v>106</v>
      </c>
      <c r="C43" s="7"/>
      <c r="D43" s="6" t="s">
        <v>42</v>
      </c>
      <c r="E43" s="7"/>
      <c r="F43" s="7"/>
      <c r="G43" s="6" t="s">
        <v>26</v>
      </c>
      <c r="H43" s="6" t="s">
        <v>42</v>
      </c>
      <c r="I43" s="7"/>
      <c r="J43" s="6"/>
      <c r="K43" s="7"/>
      <c r="L43" s="7"/>
      <c r="M43" s="21"/>
    </row>
    <row r="44" spans="1:13" x14ac:dyDescent="0.3">
      <c r="A44" s="16">
        <v>27</v>
      </c>
      <c r="B44" s="7" t="s">
        <v>107</v>
      </c>
      <c r="C44" s="7"/>
      <c r="D44" s="7"/>
      <c r="E44" s="7"/>
      <c r="F44" s="7"/>
      <c r="G44" s="6" t="s">
        <v>42</v>
      </c>
      <c r="H44" s="7"/>
      <c r="I44" s="6"/>
      <c r="J44" s="7"/>
      <c r="K44" s="7"/>
      <c r="L44" s="7"/>
      <c r="M44" s="21"/>
    </row>
    <row r="45" spans="1:13" x14ac:dyDescent="0.3">
      <c r="A45" s="16">
        <v>28</v>
      </c>
      <c r="B45" s="7" t="s">
        <v>108</v>
      </c>
      <c r="C45" s="7"/>
      <c r="D45" s="7"/>
      <c r="E45" s="7"/>
      <c r="F45" s="7"/>
      <c r="G45" s="7"/>
      <c r="H45" s="7"/>
      <c r="I45" s="6" t="s">
        <v>109</v>
      </c>
      <c r="J45" s="7" t="s">
        <v>109</v>
      </c>
      <c r="K45" s="6" t="s">
        <v>110</v>
      </c>
      <c r="L45" s="7"/>
      <c r="M45" s="21"/>
    </row>
    <row r="46" spans="1:13" x14ac:dyDescent="0.3">
      <c r="A46" s="16">
        <v>29</v>
      </c>
      <c r="B46" s="7" t="s">
        <v>111</v>
      </c>
      <c r="C46" s="7"/>
      <c r="D46" s="6" t="s">
        <v>112</v>
      </c>
      <c r="E46" s="7"/>
      <c r="F46" s="7"/>
      <c r="G46" s="6" t="s">
        <v>113</v>
      </c>
      <c r="H46" s="7"/>
      <c r="I46" s="6" t="s">
        <v>114</v>
      </c>
      <c r="J46" s="6" t="s">
        <v>115</v>
      </c>
      <c r="K46" s="6" t="s">
        <v>116</v>
      </c>
      <c r="L46" s="7"/>
      <c r="M46" s="21"/>
    </row>
    <row r="47" spans="1:13" x14ac:dyDescent="0.3">
      <c r="A47" s="16">
        <v>30</v>
      </c>
      <c r="B47" s="7" t="s">
        <v>117</v>
      </c>
      <c r="C47" s="7"/>
      <c r="D47" s="7"/>
      <c r="E47" s="7"/>
      <c r="F47" s="7"/>
      <c r="G47" s="7"/>
      <c r="H47" s="7"/>
      <c r="I47" s="6"/>
      <c r="J47" s="7"/>
      <c r="K47" s="7"/>
      <c r="L47" s="7"/>
      <c r="M47" s="21"/>
    </row>
    <row r="48" spans="1:13" x14ac:dyDescent="0.3">
      <c r="A48" s="16">
        <v>31</v>
      </c>
      <c r="B48" s="7" t="s">
        <v>118</v>
      </c>
      <c r="C48" s="7"/>
      <c r="D48" s="7"/>
      <c r="E48" s="7"/>
      <c r="F48" s="7"/>
      <c r="G48" s="7"/>
      <c r="H48" s="7"/>
      <c r="I48" s="6" t="s">
        <v>42</v>
      </c>
      <c r="J48" s="7"/>
      <c r="K48" s="7"/>
      <c r="L48" s="7"/>
      <c r="M48" s="21"/>
    </row>
    <row r="49" spans="1:13" x14ac:dyDescent="0.3">
      <c r="A49" s="16">
        <v>32</v>
      </c>
      <c r="B49" s="7" t="s">
        <v>119</v>
      </c>
      <c r="C49" s="7"/>
      <c r="D49" s="7"/>
      <c r="E49" s="7"/>
      <c r="F49" s="7"/>
      <c r="G49" s="6" t="s">
        <v>120</v>
      </c>
      <c r="H49" s="7"/>
      <c r="I49" s="6" t="s">
        <v>121</v>
      </c>
      <c r="J49" s="7"/>
      <c r="K49" s="6" t="s">
        <v>122</v>
      </c>
      <c r="L49" s="7"/>
      <c r="M49" s="21"/>
    </row>
    <row r="50" spans="1:13" x14ac:dyDescent="0.3">
      <c r="A50" s="16">
        <v>33</v>
      </c>
      <c r="B50" s="7" t="s">
        <v>123</v>
      </c>
      <c r="C50" s="7"/>
      <c r="D50" s="6" t="s">
        <v>124</v>
      </c>
      <c r="E50" s="7"/>
      <c r="F50" s="7"/>
      <c r="G50" s="6" t="s">
        <v>42</v>
      </c>
      <c r="H50" s="7"/>
      <c r="I50" s="6"/>
      <c r="J50" s="7"/>
      <c r="K50" s="7"/>
      <c r="L50" s="6" t="s">
        <v>30</v>
      </c>
      <c r="M50" s="21"/>
    </row>
    <row r="51" spans="1:13" x14ac:dyDescent="0.3">
      <c r="A51" s="16">
        <v>34</v>
      </c>
      <c r="B51" s="7" t="s">
        <v>125</v>
      </c>
      <c r="C51" s="7"/>
      <c r="D51" s="6"/>
      <c r="E51" s="7"/>
      <c r="F51" s="7"/>
      <c r="G51" s="6" t="s">
        <v>126</v>
      </c>
      <c r="H51" s="7"/>
      <c r="I51" s="6"/>
      <c r="J51" s="7"/>
      <c r="K51" s="7"/>
      <c r="L51" s="6" t="s">
        <v>127</v>
      </c>
      <c r="M51" s="21"/>
    </row>
    <row r="52" spans="1:13" x14ac:dyDescent="0.3">
      <c r="A52" s="16">
        <v>35</v>
      </c>
      <c r="B52" s="7" t="s">
        <v>128</v>
      </c>
      <c r="C52" s="7"/>
      <c r="D52" s="6" t="s">
        <v>42</v>
      </c>
      <c r="E52" s="7"/>
      <c r="F52" s="7"/>
      <c r="G52" s="6" t="s">
        <v>129</v>
      </c>
      <c r="H52" s="7"/>
      <c r="I52" s="6"/>
      <c r="J52" s="7"/>
      <c r="K52" s="7"/>
      <c r="L52" s="6" t="s">
        <v>127</v>
      </c>
      <c r="M52" s="21"/>
    </row>
    <row r="53" spans="1:13" x14ac:dyDescent="0.3">
      <c r="A53" s="16">
        <v>36</v>
      </c>
      <c r="B53" s="7" t="s">
        <v>130</v>
      </c>
      <c r="C53" s="6" t="s">
        <v>131</v>
      </c>
      <c r="D53" s="6" t="s">
        <v>132</v>
      </c>
      <c r="E53" s="7"/>
      <c r="F53" s="6" t="s">
        <v>75</v>
      </c>
      <c r="G53" s="6" t="s">
        <v>42</v>
      </c>
      <c r="H53" s="7"/>
      <c r="I53" s="6" t="s">
        <v>133</v>
      </c>
      <c r="J53" s="6" t="s">
        <v>30</v>
      </c>
      <c r="K53" s="6" t="s">
        <v>42</v>
      </c>
      <c r="L53" s="7"/>
      <c r="M53" s="21"/>
    </row>
    <row r="54" spans="1:13" x14ac:dyDescent="0.3">
      <c r="A54" s="16">
        <v>37</v>
      </c>
      <c r="B54" s="7" t="s">
        <v>134</v>
      </c>
      <c r="C54" s="7"/>
      <c r="D54" s="6"/>
      <c r="E54" s="7"/>
      <c r="F54" s="7"/>
      <c r="G54" s="6"/>
      <c r="H54" s="7"/>
      <c r="I54" s="6"/>
      <c r="J54" s="6" t="s">
        <v>26</v>
      </c>
      <c r="K54" s="7"/>
      <c r="L54" s="7"/>
      <c r="M54" s="21"/>
    </row>
    <row r="55" spans="1:13" x14ac:dyDescent="0.3">
      <c r="A55" s="16">
        <v>38</v>
      </c>
      <c r="B55" s="7" t="s">
        <v>135</v>
      </c>
      <c r="C55" s="7"/>
      <c r="D55" s="6" t="s">
        <v>42</v>
      </c>
      <c r="E55" s="7"/>
      <c r="F55" s="7"/>
      <c r="G55" s="6" t="s">
        <v>136</v>
      </c>
      <c r="H55" s="7"/>
      <c r="I55" s="6" t="s">
        <v>42</v>
      </c>
      <c r="J55" s="7" t="s">
        <v>23</v>
      </c>
      <c r="K55" s="6" t="s">
        <v>45</v>
      </c>
      <c r="L55" s="6" t="s">
        <v>26</v>
      </c>
      <c r="M55" s="21"/>
    </row>
    <row r="56" spans="1:13" x14ac:dyDescent="0.3">
      <c r="A56" s="17">
        <v>39</v>
      </c>
      <c r="B56" s="18" t="s">
        <v>137</v>
      </c>
      <c r="C56" s="18"/>
      <c r="D56" s="19"/>
      <c r="E56" s="18"/>
      <c r="F56" s="18"/>
      <c r="G56" s="19"/>
      <c r="H56" s="18"/>
      <c r="I56" s="19"/>
      <c r="J56" s="18"/>
      <c r="K56" s="19"/>
      <c r="L56" s="18"/>
      <c r="M56" s="26"/>
    </row>
  </sheetData>
  <autoFilter ref="A2:F14" xr:uid="{00000000-0001-0000-0000-000000000000}">
    <filterColumn colId="0" showButton="0"/>
    <filterColumn colId="1" showButton="0"/>
    <filterColumn colId="2" showButton="0"/>
    <filterColumn colId="3" showButton="0"/>
    <filterColumn colId="4" showButton="0"/>
  </autoFilter>
  <mergeCells count="4">
    <mergeCell ref="A1:F1"/>
    <mergeCell ref="A2:F2"/>
    <mergeCell ref="A16:M16"/>
    <mergeCell ref="A14:C14"/>
  </mergeCells>
  <pageMargins left="0.7" right="0.7" top="0.75" bottom="0.75" header="0.3" footer="0.3"/>
  <pageSetup orientation="portrait" r:id="rId1"/>
  <tableParts count="1">
    <tablePart r:id="rId2"/>
  </tablePart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54BF774-1641-45B8-9863-CDFA8459D8BA}">
  <dimension ref="A1:E125"/>
  <sheetViews>
    <sheetView topLeftCell="B1" workbookViewId="0">
      <selection activeCell="F99" sqref="F99"/>
    </sheetView>
  </sheetViews>
  <sheetFormatPr defaultRowHeight="14.4" x14ac:dyDescent="0.3"/>
  <cols>
    <col min="1" max="1" width="10" bestFit="1" customWidth="1"/>
    <col min="2" max="2" width="21.44140625" bestFit="1" customWidth="1"/>
    <col min="3" max="3" width="12.21875" bestFit="1" customWidth="1"/>
    <col min="4" max="4" width="10.5546875" bestFit="1" customWidth="1"/>
    <col min="5" max="5" width="7" bestFit="1" customWidth="1"/>
  </cols>
  <sheetData>
    <row r="1" spans="1:5" x14ac:dyDescent="0.3">
      <c r="A1" t="s">
        <v>138</v>
      </c>
      <c r="B1" t="s">
        <v>19</v>
      </c>
      <c r="C1" t="s">
        <v>140</v>
      </c>
      <c r="D1" t="s">
        <v>142</v>
      </c>
      <c r="E1" t="s">
        <v>143</v>
      </c>
    </row>
    <row r="2" spans="1:5" x14ac:dyDescent="0.3">
      <c r="A2">
        <v>1</v>
      </c>
      <c r="B2" t="s">
        <v>21</v>
      </c>
      <c r="C2" t="s">
        <v>8</v>
      </c>
      <c r="D2">
        <v>22</v>
      </c>
      <c r="E2" t="s">
        <v>144</v>
      </c>
    </row>
    <row r="3" spans="1:5" x14ac:dyDescent="0.3">
      <c r="A3">
        <v>1</v>
      </c>
      <c r="B3" t="s">
        <v>21</v>
      </c>
      <c r="C3" t="s">
        <v>9</v>
      </c>
      <c r="D3">
        <v>2</v>
      </c>
      <c r="E3" t="s">
        <v>144</v>
      </c>
    </row>
    <row r="4" spans="1:5" x14ac:dyDescent="0.3">
      <c r="A4">
        <v>1</v>
      </c>
      <c r="B4" t="s">
        <v>21</v>
      </c>
      <c r="C4" t="s">
        <v>11</v>
      </c>
      <c r="D4">
        <v>43.165999999999997</v>
      </c>
      <c r="E4" t="s">
        <v>144</v>
      </c>
    </row>
    <row r="5" spans="1:5" x14ac:dyDescent="0.3">
      <c r="A5">
        <v>1</v>
      </c>
      <c r="B5" t="s">
        <v>21</v>
      </c>
      <c r="C5" t="s">
        <v>12</v>
      </c>
      <c r="D5">
        <v>7</v>
      </c>
      <c r="E5" t="s">
        <v>144</v>
      </c>
    </row>
    <row r="6" spans="1:5" x14ac:dyDescent="0.3">
      <c r="A6">
        <v>1</v>
      </c>
      <c r="B6" t="s">
        <v>21</v>
      </c>
      <c r="C6" t="s">
        <v>15</v>
      </c>
      <c r="D6">
        <v>3</v>
      </c>
      <c r="E6" t="s">
        <v>144</v>
      </c>
    </row>
    <row r="7" spans="1:5" x14ac:dyDescent="0.3">
      <c r="A7">
        <v>2</v>
      </c>
      <c r="B7" t="s">
        <v>27</v>
      </c>
      <c r="C7" t="s">
        <v>9</v>
      </c>
      <c r="D7">
        <v>12.167</v>
      </c>
      <c r="E7" t="s">
        <v>144</v>
      </c>
    </row>
    <row r="8" spans="1:5" x14ac:dyDescent="0.3">
      <c r="A8">
        <v>2</v>
      </c>
      <c r="B8" t="s">
        <v>27</v>
      </c>
      <c r="C8" t="s">
        <v>12</v>
      </c>
      <c r="D8">
        <v>48.33</v>
      </c>
      <c r="E8" t="s">
        <v>144</v>
      </c>
    </row>
    <row r="9" spans="1:5" x14ac:dyDescent="0.3">
      <c r="A9">
        <v>2</v>
      </c>
      <c r="B9" t="s">
        <v>27</v>
      </c>
      <c r="C9" t="s">
        <v>13</v>
      </c>
      <c r="D9">
        <v>5</v>
      </c>
      <c r="E9" t="s">
        <v>144</v>
      </c>
    </row>
    <row r="10" spans="1:5" x14ac:dyDescent="0.3">
      <c r="A10">
        <v>2</v>
      </c>
      <c r="B10" t="s">
        <v>27</v>
      </c>
      <c r="C10" t="s">
        <v>15</v>
      </c>
      <c r="D10">
        <v>1.2509999999999999</v>
      </c>
      <c r="E10" t="s">
        <v>144</v>
      </c>
    </row>
    <row r="11" spans="1:5" x14ac:dyDescent="0.3">
      <c r="A11">
        <v>2</v>
      </c>
      <c r="B11" t="s">
        <v>27</v>
      </c>
      <c r="C11" t="s">
        <v>16</v>
      </c>
      <c r="D11">
        <v>5.2510000000000003</v>
      </c>
      <c r="E11" t="s">
        <v>144</v>
      </c>
    </row>
    <row r="12" spans="1:5" x14ac:dyDescent="0.3">
      <c r="A12">
        <v>2</v>
      </c>
      <c r="B12" t="s">
        <v>27</v>
      </c>
      <c r="C12" t="s">
        <v>17</v>
      </c>
      <c r="D12">
        <v>20</v>
      </c>
      <c r="E12" t="s">
        <v>144</v>
      </c>
    </row>
    <row r="13" spans="1:5" x14ac:dyDescent="0.3">
      <c r="A13">
        <v>4</v>
      </c>
      <c r="B13" t="s">
        <v>35</v>
      </c>
      <c r="C13" t="s">
        <v>8</v>
      </c>
      <c r="D13">
        <v>3</v>
      </c>
      <c r="E13" t="s">
        <v>144</v>
      </c>
    </row>
    <row r="14" spans="1:5" x14ac:dyDescent="0.3">
      <c r="A14">
        <v>4</v>
      </c>
      <c r="B14" t="s">
        <v>35</v>
      </c>
      <c r="C14" t="s">
        <v>9</v>
      </c>
      <c r="D14">
        <v>150.25</v>
      </c>
      <c r="E14" t="s">
        <v>144</v>
      </c>
    </row>
    <row r="15" spans="1:5" x14ac:dyDescent="0.3">
      <c r="A15">
        <v>4</v>
      </c>
      <c r="B15" t="s">
        <v>35</v>
      </c>
      <c r="C15" t="s">
        <v>12</v>
      </c>
      <c r="D15">
        <v>6</v>
      </c>
      <c r="E15" t="s">
        <v>144</v>
      </c>
    </row>
    <row r="16" spans="1:5" x14ac:dyDescent="0.3">
      <c r="A16">
        <v>4</v>
      </c>
      <c r="B16" t="s">
        <v>35</v>
      </c>
      <c r="C16" t="s">
        <v>13</v>
      </c>
      <c r="D16">
        <v>2</v>
      </c>
      <c r="E16" t="s">
        <v>144</v>
      </c>
    </row>
    <row r="17" spans="1:5" x14ac:dyDescent="0.3">
      <c r="A17">
        <v>4</v>
      </c>
      <c r="B17" t="s">
        <v>35</v>
      </c>
      <c r="C17" t="s">
        <v>18</v>
      </c>
      <c r="D17">
        <v>40</v>
      </c>
      <c r="E17" t="s">
        <v>145</v>
      </c>
    </row>
    <row r="18" spans="1:5" x14ac:dyDescent="0.3">
      <c r="A18">
        <v>5</v>
      </c>
      <c r="B18" t="s">
        <v>39</v>
      </c>
      <c r="C18" t="s">
        <v>8</v>
      </c>
      <c r="D18">
        <v>75.5</v>
      </c>
      <c r="E18" t="s">
        <v>144</v>
      </c>
    </row>
    <row r="19" spans="1:5" x14ac:dyDescent="0.3">
      <c r="A19">
        <v>5</v>
      </c>
      <c r="B19" t="s">
        <v>39</v>
      </c>
      <c r="C19" t="s">
        <v>9</v>
      </c>
      <c r="D19">
        <v>9.3339999999999996</v>
      </c>
      <c r="E19" t="s">
        <v>144</v>
      </c>
    </row>
    <row r="20" spans="1:5" x14ac:dyDescent="0.3">
      <c r="A20">
        <v>5</v>
      </c>
      <c r="B20" t="s">
        <v>39</v>
      </c>
      <c r="C20" t="s">
        <v>11</v>
      </c>
      <c r="D20">
        <v>1</v>
      </c>
      <c r="E20" t="s">
        <v>144</v>
      </c>
    </row>
    <row r="21" spans="1:5" x14ac:dyDescent="0.3">
      <c r="A21">
        <v>5</v>
      </c>
      <c r="B21" t="s">
        <v>39</v>
      </c>
      <c r="C21" t="s">
        <v>12</v>
      </c>
      <c r="D21">
        <v>17.666</v>
      </c>
      <c r="E21" t="s">
        <v>144</v>
      </c>
    </row>
    <row r="22" spans="1:5" x14ac:dyDescent="0.3">
      <c r="A22">
        <v>5</v>
      </c>
      <c r="B22" t="s">
        <v>39</v>
      </c>
      <c r="C22" t="s">
        <v>17</v>
      </c>
      <c r="D22">
        <v>2</v>
      </c>
      <c r="E22" t="s">
        <v>144</v>
      </c>
    </row>
    <row r="23" spans="1:5" x14ac:dyDescent="0.3">
      <c r="A23">
        <v>6</v>
      </c>
      <c r="B23" t="s">
        <v>44</v>
      </c>
      <c r="C23" t="s">
        <v>8</v>
      </c>
      <c r="D23">
        <v>10</v>
      </c>
      <c r="E23" t="s">
        <v>144</v>
      </c>
    </row>
    <row r="24" spans="1:5" x14ac:dyDescent="0.3">
      <c r="A24">
        <v>6</v>
      </c>
      <c r="B24" t="s">
        <v>44</v>
      </c>
      <c r="C24" t="s">
        <v>9</v>
      </c>
      <c r="D24">
        <v>224</v>
      </c>
      <c r="E24" t="s">
        <v>144</v>
      </c>
    </row>
    <row r="25" spans="1:5" x14ac:dyDescent="0.3">
      <c r="A25">
        <v>6</v>
      </c>
      <c r="B25" t="s">
        <v>44</v>
      </c>
      <c r="C25" t="s">
        <v>12</v>
      </c>
      <c r="D25">
        <v>506</v>
      </c>
      <c r="E25" t="s">
        <v>144</v>
      </c>
    </row>
    <row r="26" spans="1:5" x14ac:dyDescent="0.3">
      <c r="A26">
        <v>6</v>
      </c>
      <c r="B26" t="s">
        <v>44</v>
      </c>
      <c r="C26" t="s">
        <v>13</v>
      </c>
      <c r="D26">
        <v>98</v>
      </c>
      <c r="E26" t="s">
        <v>144</v>
      </c>
    </row>
    <row r="27" spans="1:5" x14ac:dyDescent="0.3">
      <c r="A27">
        <v>6</v>
      </c>
      <c r="B27" t="s">
        <v>44</v>
      </c>
      <c r="C27" t="s">
        <v>15</v>
      </c>
      <c r="D27">
        <v>254</v>
      </c>
      <c r="E27" t="s">
        <v>144</v>
      </c>
    </row>
    <row r="28" spans="1:5" x14ac:dyDescent="0.3">
      <c r="A28">
        <v>6</v>
      </c>
      <c r="B28" t="s">
        <v>44</v>
      </c>
      <c r="C28" t="s">
        <v>16</v>
      </c>
      <c r="D28">
        <v>166</v>
      </c>
      <c r="E28" t="s">
        <v>144</v>
      </c>
    </row>
    <row r="29" spans="1:5" x14ac:dyDescent="0.3">
      <c r="A29">
        <v>6</v>
      </c>
      <c r="B29" t="s">
        <v>44</v>
      </c>
      <c r="C29" t="s">
        <v>17</v>
      </c>
      <c r="D29">
        <v>341</v>
      </c>
      <c r="E29" t="s">
        <v>144</v>
      </c>
    </row>
    <row r="30" spans="1:5" x14ac:dyDescent="0.3">
      <c r="A30">
        <v>6</v>
      </c>
      <c r="B30" t="s">
        <v>44</v>
      </c>
      <c r="C30" t="s">
        <v>18</v>
      </c>
      <c r="D30">
        <v>859.66600000000005</v>
      </c>
      <c r="E30" t="s">
        <v>144</v>
      </c>
    </row>
    <row r="31" spans="1:5" x14ac:dyDescent="0.3">
      <c r="A31">
        <v>7</v>
      </c>
      <c r="B31" t="s">
        <v>53</v>
      </c>
      <c r="C31" t="s">
        <v>9</v>
      </c>
      <c r="D31">
        <v>30</v>
      </c>
      <c r="E31" t="s">
        <v>146</v>
      </c>
    </row>
    <row r="32" spans="1:5" x14ac:dyDescent="0.3">
      <c r="A32">
        <v>7</v>
      </c>
      <c r="B32" t="s">
        <v>53</v>
      </c>
      <c r="C32" t="s">
        <v>12</v>
      </c>
      <c r="D32">
        <v>382</v>
      </c>
      <c r="E32" t="s">
        <v>146</v>
      </c>
    </row>
    <row r="33" spans="1:5" x14ac:dyDescent="0.3">
      <c r="A33">
        <v>7</v>
      </c>
      <c r="B33" t="s">
        <v>53</v>
      </c>
      <c r="C33" t="s">
        <v>13</v>
      </c>
      <c r="D33">
        <v>60</v>
      </c>
      <c r="E33" t="s">
        <v>146</v>
      </c>
    </row>
    <row r="34" spans="1:5" x14ac:dyDescent="0.3">
      <c r="A34">
        <v>7</v>
      </c>
      <c r="B34" t="s">
        <v>53</v>
      </c>
      <c r="C34" t="s">
        <v>15</v>
      </c>
      <c r="D34">
        <v>22</v>
      </c>
      <c r="E34" t="s">
        <v>146</v>
      </c>
    </row>
    <row r="35" spans="1:5" x14ac:dyDescent="0.3">
      <c r="A35">
        <v>7</v>
      </c>
      <c r="B35" t="s">
        <v>53</v>
      </c>
      <c r="C35" t="s">
        <v>17</v>
      </c>
      <c r="D35">
        <v>3</v>
      </c>
      <c r="E35" t="s">
        <v>146</v>
      </c>
    </row>
    <row r="36" spans="1:5" x14ac:dyDescent="0.3">
      <c r="A36">
        <v>7</v>
      </c>
      <c r="B36" t="s">
        <v>53</v>
      </c>
      <c r="C36" t="s">
        <v>18</v>
      </c>
      <c r="D36">
        <v>60</v>
      </c>
      <c r="E36" t="s">
        <v>146</v>
      </c>
    </row>
    <row r="37" spans="1:5" x14ac:dyDescent="0.3">
      <c r="A37">
        <v>2</v>
      </c>
      <c r="B37" t="s">
        <v>59</v>
      </c>
      <c r="C37" t="s">
        <v>12</v>
      </c>
      <c r="D37">
        <v>115</v>
      </c>
      <c r="E37" t="s">
        <v>146</v>
      </c>
    </row>
    <row r="38" spans="1:5" x14ac:dyDescent="0.3">
      <c r="A38">
        <v>2</v>
      </c>
      <c r="B38" t="s">
        <v>59</v>
      </c>
      <c r="C38" t="s">
        <v>13</v>
      </c>
      <c r="D38">
        <v>12</v>
      </c>
      <c r="E38" t="s">
        <v>146</v>
      </c>
    </row>
    <row r="39" spans="1:5" x14ac:dyDescent="0.3">
      <c r="A39">
        <v>2</v>
      </c>
      <c r="B39" t="s">
        <v>59</v>
      </c>
      <c r="C39" t="s">
        <v>15</v>
      </c>
      <c r="D39">
        <v>40</v>
      </c>
      <c r="E39" t="s">
        <v>146</v>
      </c>
    </row>
    <row r="40" spans="1:5" x14ac:dyDescent="0.3">
      <c r="A40">
        <v>2</v>
      </c>
      <c r="B40" t="s">
        <v>59</v>
      </c>
      <c r="C40" t="s">
        <v>17</v>
      </c>
      <c r="D40">
        <v>3</v>
      </c>
      <c r="E40" t="s">
        <v>146</v>
      </c>
    </row>
    <row r="41" spans="1:5" x14ac:dyDescent="0.3">
      <c r="A41">
        <v>2</v>
      </c>
      <c r="B41" t="s">
        <v>59</v>
      </c>
      <c r="C41" t="s">
        <v>18</v>
      </c>
      <c r="D41">
        <v>24</v>
      </c>
      <c r="E41" t="s">
        <v>146</v>
      </c>
    </row>
    <row r="42" spans="1:5" x14ac:dyDescent="0.3">
      <c r="A42">
        <v>9</v>
      </c>
      <c r="B42" t="s">
        <v>64</v>
      </c>
      <c r="C42" t="s">
        <v>9</v>
      </c>
      <c r="D42">
        <v>11</v>
      </c>
      <c r="E42" t="s">
        <v>144</v>
      </c>
    </row>
    <row r="43" spans="1:5" x14ac:dyDescent="0.3">
      <c r="A43">
        <v>10</v>
      </c>
      <c r="B43" t="s">
        <v>66</v>
      </c>
      <c r="C43" t="s">
        <v>9</v>
      </c>
      <c r="D43">
        <v>1</v>
      </c>
      <c r="E43" t="s">
        <v>144</v>
      </c>
    </row>
    <row r="44" spans="1:5" x14ac:dyDescent="0.3">
      <c r="A44">
        <v>10</v>
      </c>
      <c r="B44" t="s">
        <v>66</v>
      </c>
      <c r="C44" t="s">
        <v>11</v>
      </c>
      <c r="D44">
        <v>6</v>
      </c>
      <c r="E44" t="s">
        <v>144</v>
      </c>
    </row>
    <row r="45" spans="1:5" x14ac:dyDescent="0.3">
      <c r="A45">
        <v>11</v>
      </c>
      <c r="B45" t="s">
        <v>67</v>
      </c>
      <c r="C45" t="s">
        <v>12</v>
      </c>
      <c r="D45">
        <v>1</v>
      </c>
      <c r="E45" t="s">
        <v>144</v>
      </c>
    </row>
    <row r="46" spans="1:5" x14ac:dyDescent="0.3">
      <c r="A46">
        <v>11</v>
      </c>
      <c r="B46" t="s">
        <v>67</v>
      </c>
      <c r="C46" t="s">
        <v>16</v>
      </c>
      <c r="D46">
        <v>10</v>
      </c>
      <c r="E46" t="s">
        <v>144</v>
      </c>
    </row>
    <row r="47" spans="1:5" x14ac:dyDescent="0.3">
      <c r="A47">
        <v>12</v>
      </c>
      <c r="B47" t="s">
        <v>68</v>
      </c>
      <c r="C47" t="s">
        <v>8</v>
      </c>
      <c r="D47">
        <v>1</v>
      </c>
      <c r="E47" t="s">
        <v>144</v>
      </c>
    </row>
    <row r="48" spans="1:5" x14ac:dyDescent="0.3">
      <c r="A48">
        <v>12</v>
      </c>
      <c r="B48" t="s">
        <v>68</v>
      </c>
      <c r="C48" t="s">
        <v>9</v>
      </c>
      <c r="D48">
        <v>5</v>
      </c>
      <c r="E48" t="s">
        <v>144</v>
      </c>
    </row>
    <row r="49" spans="1:5" x14ac:dyDescent="0.3">
      <c r="A49">
        <v>12</v>
      </c>
      <c r="B49" t="s">
        <v>68</v>
      </c>
      <c r="C49" t="s">
        <v>10</v>
      </c>
      <c r="D49">
        <v>2</v>
      </c>
      <c r="E49" t="s">
        <v>144</v>
      </c>
    </row>
    <row r="50" spans="1:5" x14ac:dyDescent="0.3">
      <c r="A50">
        <v>12</v>
      </c>
      <c r="B50" t="s">
        <v>68</v>
      </c>
      <c r="C50" t="s">
        <v>11</v>
      </c>
      <c r="D50">
        <v>20</v>
      </c>
      <c r="E50" t="s">
        <v>144</v>
      </c>
    </row>
    <row r="51" spans="1:5" x14ac:dyDescent="0.3">
      <c r="A51">
        <v>12</v>
      </c>
      <c r="B51" t="s">
        <v>68</v>
      </c>
      <c r="C51" t="s">
        <v>12</v>
      </c>
      <c r="D51">
        <v>1</v>
      </c>
      <c r="E51" t="s">
        <v>144</v>
      </c>
    </row>
    <row r="52" spans="1:5" x14ac:dyDescent="0.3">
      <c r="A52">
        <v>12</v>
      </c>
      <c r="B52" t="s">
        <v>68</v>
      </c>
      <c r="C52" t="s">
        <v>16</v>
      </c>
      <c r="D52">
        <v>29</v>
      </c>
      <c r="E52" t="s">
        <v>144</v>
      </c>
    </row>
    <row r="53" spans="1:5" x14ac:dyDescent="0.3">
      <c r="A53">
        <v>12</v>
      </c>
      <c r="B53" t="s">
        <v>68</v>
      </c>
      <c r="C53" t="s">
        <v>17</v>
      </c>
      <c r="D53">
        <v>3</v>
      </c>
      <c r="E53" t="s">
        <v>144</v>
      </c>
    </row>
    <row r="54" spans="1:5" x14ac:dyDescent="0.3">
      <c r="A54">
        <v>13</v>
      </c>
      <c r="B54" t="s">
        <v>70</v>
      </c>
      <c r="C54" t="s">
        <v>12</v>
      </c>
      <c r="D54">
        <v>1</v>
      </c>
      <c r="E54" t="s">
        <v>144</v>
      </c>
    </row>
    <row r="55" spans="1:5" x14ac:dyDescent="0.3">
      <c r="A55">
        <v>14</v>
      </c>
      <c r="B55" t="s">
        <v>71</v>
      </c>
      <c r="C55" t="s">
        <v>9</v>
      </c>
      <c r="D55">
        <v>33</v>
      </c>
      <c r="E55" t="s">
        <v>144</v>
      </c>
    </row>
    <row r="56" spans="1:5" x14ac:dyDescent="0.3">
      <c r="A56">
        <v>15</v>
      </c>
      <c r="B56" t="s">
        <v>73</v>
      </c>
      <c r="C56" t="s">
        <v>8</v>
      </c>
      <c r="D56">
        <v>259</v>
      </c>
      <c r="E56" t="s">
        <v>144</v>
      </c>
    </row>
    <row r="57" spans="1:5" x14ac:dyDescent="0.3">
      <c r="A57">
        <v>15</v>
      </c>
      <c r="B57" t="s">
        <v>73</v>
      </c>
      <c r="C57" t="s">
        <v>9</v>
      </c>
      <c r="D57">
        <v>43</v>
      </c>
      <c r="E57" t="s">
        <v>144</v>
      </c>
    </row>
    <row r="58" spans="1:5" x14ac:dyDescent="0.3">
      <c r="A58">
        <v>15</v>
      </c>
      <c r="B58" t="s">
        <v>73</v>
      </c>
      <c r="C58" t="s">
        <v>10</v>
      </c>
      <c r="D58">
        <v>10</v>
      </c>
      <c r="E58" t="s">
        <v>144</v>
      </c>
    </row>
    <row r="59" spans="1:5" x14ac:dyDescent="0.3">
      <c r="A59">
        <v>15</v>
      </c>
      <c r="B59" t="s">
        <v>73</v>
      </c>
      <c r="C59" t="s">
        <v>11</v>
      </c>
      <c r="D59">
        <v>49</v>
      </c>
      <c r="E59" t="s">
        <v>144</v>
      </c>
    </row>
    <row r="60" spans="1:5" x14ac:dyDescent="0.3">
      <c r="A60">
        <v>15</v>
      </c>
      <c r="B60" t="s">
        <v>73</v>
      </c>
      <c r="C60" t="s">
        <v>12</v>
      </c>
      <c r="D60">
        <v>7</v>
      </c>
      <c r="E60" t="s">
        <v>144</v>
      </c>
    </row>
    <row r="61" spans="1:5" x14ac:dyDescent="0.3">
      <c r="A61">
        <v>15</v>
      </c>
      <c r="B61" t="s">
        <v>73</v>
      </c>
      <c r="C61" t="s">
        <v>18</v>
      </c>
      <c r="D61">
        <v>11</v>
      </c>
      <c r="E61" t="s">
        <v>144</v>
      </c>
    </row>
    <row r="62" spans="1:5" x14ac:dyDescent="0.3">
      <c r="A62">
        <v>17</v>
      </c>
      <c r="B62" t="s">
        <v>78</v>
      </c>
      <c r="C62" t="s">
        <v>9</v>
      </c>
      <c r="D62">
        <v>22.8</v>
      </c>
      <c r="E62" t="s">
        <v>147</v>
      </c>
    </row>
    <row r="63" spans="1:5" x14ac:dyDescent="0.3">
      <c r="A63">
        <v>18</v>
      </c>
      <c r="B63" t="s">
        <v>80</v>
      </c>
      <c r="C63" t="s">
        <v>9</v>
      </c>
      <c r="D63">
        <v>1.333</v>
      </c>
      <c r="E63" t="s">
        <v>144</v>
      </c>
    </row>
    <row r="64" spans="1:5" x14ac:dyDescent="0.3">
      <c r="A64">
        <v>18</v>
      </c>
      <c r="B64" t="s">
        <v>80</v>
      </c>
      <c r="C64" t="s">
        <v>12</v>
      </c>
      <c r="D64">
        <v>1.083</v>
      </c>
      <c r="E64" t="s">
        <v>144</v>
      </c>
    </row>
    <row r="65" spans="1:5" x14ac:dyDescent="0.3">
      <c r="A65">
        <v>18</v>
      </c>
      <c r="B65" t="s">
        <v>80</v>
      </c>
      <c r="C65" t="s">
        <v>13</v>
      </c>
      <c r="D65">
        <v>8.3000000000000004E-2</v>
      </c>
      <c r="E65" t="s">
        <v>144</v>
      </c>
    </row>
    <row r="66" spans="1:5" x14ac:dyDescent="0.3">
      <c r="A66">
        <v>18</v>
      </c>
      <c r="B66" t="s">
        <v>80</v>
      </c>
      <c r="C66" t="s">
        <v>16</v>
      </c>
      <c r="D66">
        <v>8.3000000000000004E-2</v>
      </c>
      <c r="E66" t="s">
        <v>144</v>
      </c>
    </row>
    <row r="67" spans="1:5" x14ac:dyDescent="0.3">
      <c r="A67">
        <v>20</v>
      </c>
      <c r="B67" t="s">
        <v>85</v>
      </c>
      <c r="C67" t="s">
        <v>9</v>
      </c>
      <c r="D67">
        <v>0.25</v>
      </c>
      <c r="E67" t="s">
        <v>144</v>
      </c>
    </row>
    <row r="68" spans="1:5" x14ac:dyDescent="0.3">
      <c r="A68">
        <v>20</v>
      </c>
      <c r="B68" t="s">
        <v>85</v>
      </c>
      <c r="C68" t="s">
        <v>12</v>
      </c>
      <c r="D68">
        <v>15</v>
      </c>
      <c r="E68" t="s">
        <v>144</v>
      </c>
    </row>
    <row r="69" spans="1:5" x14ac:dyDescent="0.3">
      <c r="A69">
        <v>20</v>
      </c>
      <c r="B69" t="s">
        <v>85</v>
      </c>
      <c r="C69" t="s">
        <v>15</v>
      </c>
      <c r="D69">
        <v>1.875</v>
      </c>
      <c r="E69" t="s">
        <v>144</v>
      </c>
    </row>
    <row r="70" spans="1:5" x14ac:dyDescent="0.3">
      <c r="A70">
        <v>20</v>
      </c>
      <c r="B70" t="s">
        <v>85</v>
      </c>
      <c r="C70" t="s">
        <v>16</v>
      </c>
      <c r="D70">
        <v>0.16700000000000001</v>
      </c>
      <c r="E70" t="s">
        <v>144</v>
      </c>
    </row>
    <row r="71" spans="1:5" x14ac:dyDescent="0.3">
      <c r="A71">
        <v>20</v>
      </c>
      <c r="B71" t="s">
        <v>85</v>
      </c>
      <c r="C71" t="s">
        <v>17</v>
      </c>
      <c r="D71">
        <v>1.125</v>
      </c>
      <c r="E71" t="s">
        <v>144</v>
      </c>
    </row>
    <row r="72" spans="1:5" x14ac:dyDescent="0.3">
      <c r="A72">
        <v>23</v>
      </c>
      <c r="B72" t="s">
        <v>93</v>
      </c>
      <c r="C72" t="s">
        <v>8</v>
      </c>
      <c r="D72">
        <v>1</v>
      </c>
      <c r="E72" t="s">
        <v>144</v>
      </c>
    </row>
    <row r="73" spans="1:5" x14ac:dyDescent="0.3">
      <c r="A73">
        <v>23</v>
      </c>
      <c r="B73" t="s">
        <v>93</v>
      </c>
      <c r="C73" t="s">
        <v>9</v>
      </c>
      <c r="D73">
        <v>41.3</v>
      </c>
      <c r="E73" t="s">
        <v>144</v>
      </c>
    </row>
    <row r="74" spans="1:5" x14ac:dyDescent="0.3">
      <c r="A74">
        <v>23</v>
      </c>
      <c r="B74" t="s">
        <v>93</v>
      </c>
      <c r="C74" t="s">
        <v>12</v>
      </c>
      <c r="D74">
        <v>13</v>
      </c>
      <c r="E74" t="s">
        <v>144</v>
      </c>
    </row>
    <row r="75" spans="1:5" x14ac:dyDescent="0.3">
      <c r="A75">
        <v>23</v>
      </c>
      <c r="B75" t="s">
        <v>93</v>
      </c>
      <c r="C75" t="s">
        <v>15</v>
      </c>
      <c r="D75">
        <v>1</v>
      </c>
      <c r="E75" t="s">
        <v>144</v>
      </c>
    </row>
    <row r="76" spans="1:5" x14ac:dyDescent="0.3">
      <c r="A76">
        <v>23</v>
      </c>
      <c r="B76" t="s">
        <v>93</v>
      </c>
      <c r="C76" t="s">
        <v>16</v>
      </c>
      <c r="D76">
        <v>16</v>
      </c>
      <c r="E76" t="s">
        <v>144</v>
      </c>
    </row>
    <row r="77" spans="1:5" x14ac:dyDescent="0.3">
      <c r="A77">
        <v>23</v>
      </c>
      <c r="B77" t="s">
        <v>93</v>
      </c>
      <c r="C77" t="s">
        <v>18</v>
      </c>
      <c r="D77">
        <v>1</v>
      </c>
      <c r="E77" t="s">
        <v>144</v>
      </c>
    </row>
    <row r="78" spans="1:5" x14ac:dyDescent="0.3">
      <c r="A78">
        <v>24</v>
      </c>
      <c r="B78" t="s">
        <v>97</v>
      </c>
      <c r="C78" t="s">
        <v>13</v>
      </c>
      <c r="D78">
        <v>5</v>
      </c>
      <c r="E78" t="s">
        <v>144</v>
      </c>
    </row>
    <row r="79" spans="1:5" x14ac:dyDescent="0.3">
      <c r="A79">
        <v>24</v>
      </c>
      <c r="B79" t="s">
        <v>97</v>
      </c>
      <c r="C79" t="s">
        <v>16</v>
      </c>
      <c r="D79">
        <v>1</v>
      </c>
      <c r="E79" t="s">
        <v>144</v>
      </c>
    </row>
    <row r="80" spans="1:5" x14ac:dyDescent="0.3">
      <c r="A80">
        <v>24</v>
      </c>
      <c r="B80" t="s">
        <v>97</v>
      </c>
      <c r="C80" t="s">
        <v>17</v>
      </c>
      <c r="D80">
        <v>1.4</v>
      </c>
      <c r="E80" t="s">
        <v>144</v>
      </c>
    </row>
    <row r="81" spans="1:5" x14ac:dyDescent="0.3">
      <c r="A81">
        <v>25</v>
      </c>
      <c r="B81" t="s">
        <v>99</v>
      </c>
      <c r="C81" t="s">
        <v>9</v>
      </c>
      <c r="D81">
        <v>4.5</v>
      </c>
      <c r="E81" t="s">
        <v>144</v>
      </c>
    </row>
    <row r="82" spans="1:5" x14ac:dyDescent="0.3">
      <c r="A82">
        <v>25</v>
      </c>
      <c r="B82" t="s">
        <v>99</v>
      </c>
      <c r="C82" t="s">
        <v>12</v>
      </c>
      <c r="D82">
        <v>53</v>
      </c>
      <c r="E82" t="s">
        <v>144</v>
      </c>
    </row>
    <row r="83" spans="1:5" x14ac:dyDescent="0.3">
      <c r="A83">
        <v>25</v>
      </c>
      <c r="B83" t="s">
        <v>99</v>
      </c>
      <c r="C83" t="s">
        <v>13</v>
      </c>
      <c r="D83">
        <v>58.875</v>
      </c>
      <c r="E83" t="s">
        <v>144</v>
      </c>
    </row>
    <row r="84" spans="1:5" x14ac:dyDescent="0.3">
      <c r="A84">
        <v>25</v>
      </c>
      <c r="B84" t="s">
        <v>99</v>
      </c>
      <c r="C84" t="s">
        <v>15</v>
      </c>
      <c r="D84">
        <v>142</v>
      </c>
      <c r="E84" t="s">
        <v>144</v>
      </c>
    </row>
    <row r="85" spans="1:5" x14ac:dyDescent="0.3">
      <c r="A85">
        <v>25</v>
      </c>
      <c r="B85" t="s">
        <v>99</v>
      </c>
      <c r="C85" t="s">
        <v>16</v>
      </c>
      <c r="D85">
        <v>52</v>
      </c>
      <c r="E85" t="s">
        <v>144</v>
      </c>
    </row>
    <row r="86" spans="1:5" x14ac:dyDescent="0.3">
      <c r="A86">
        <v>25</v>
      </c>
      <c r="B86" t="s">
        <v>99</v>
      </c>
      <c r="C86" t="s">
        <v>17</v>
      </c>
      <c r="D86">
        <v>29</v>
      </c>
      <c r="E86" t="s">
        <v>144</v>
      </c>
    </row>
    <row r="87" spans="1:5" x14ac:dyDescent="0.3">
      <c r="A87">
        <v>25</v>
      </c>
      <c r="B87" t="s">
        <v>99</v>
      </c>
      <c r="C87" t="s">
        <v>18</v>
      </c>
      <c r="D87">
        <v>8.625</v>
      </c>
      <c r="E87" t="s">
        <v>144</v>
      </c>
    </row>
    <row r="88" spans="1:5" x14ac:dyDescent="0.3">
      <c r="A88">
        <v>26</v>
      </c>
      <c r="B88" t="s">
        <v>106</v>
      </c>
      <c r="C88" t="s">
        <v>9</v>
      </c>
      <c r="D88">
        <v>1</v>
      </c>
      <c r="E88" t="s">
        <v>144</v>
      </c>
    </row>
    <row r="89" spans="1:5" x14ac:dyDescent="0.3">
      <c r="A89">
        <v>26</v>
      </c>
      <c r="B89" t="s">
        <v>106</v>
      </c>
      <c r="C89" t="s">
        <v>12</v>
      </c>
      <c r="D89">
        <v>3</v>
      </c>
      <c r="E89" t="s">
        <v>144</v>
      </c>
    </row>
    <row r="90" spans="1:5" x14ac:dyDescent="0.3">
      <c r="A90">
        <v>26</v>
      </c>
      <c r="B90" t="s">
        <v>106</v>
      </c>
      <c r="C90" t="s">
        <v>13</v>
      </c>
      <c r="D90">
        <v>1</v>
      </c>
      <c r="E90" t="s">
        <v>144</v>
      </c>
    </row>
    <row r="91" spans="1:5" x14ac:dyDescent="0.3">
      <c r="A91">
        <v>27</v>
      </c>
      <c r="B91" t="s">
        <v>107</v>
      </c>
      <c r="C91" t="s">
        <v>12</v>
      </c>
      <c r="D91">
        <v>1</v>
      </c>
      <c r="E91" t="s">
        <v>144</v>
      </c>
    </row>
    <row r="92" spans="1:5" x14ac:dyDescent="0.3">
      <c r="A92">
        <v>28</v>
      </c>
      <c r="B92" t="s">
        <v>108</v>
      </c>
      <c r="C92" t="s">
        <v>15</v>
      </c>
      <c r="D92">
        <v>12</v>
      </c>
      <c r="E92" t="s">
        <v>148</v>
      </c>
    </row>
    <row r="93" spans="1:5" x14ac:dyDescent="0.3">
      <c r="A93">
        <v>28</v>
      </c>
      <c r="B93" t="s">
        <v>108</v>
      </c>
      <c r="C93" t="s">
        <v>16</v>
      </c>
      <c r="D93">
        <v>12</v>
      </c>
      <c r="E93" t="s">
        <v>148</v>
      </c>
    </row>
    <row r="94" spans="1:5" x14ac:dyDescent="0.3">
      <c r="A94">
        <v>28</v>
      </c>
      <c r="B94" t="s">
        <v>108</v>
      </c>
      <c r="C94" t="s">
        <v>17</v>
      </c>
      <c r="D94">
        <v>20</v>
      </c>
      <c r="E94" t="s">
        <v>148</v>
      </c>
    </row>
    <row r="95" spans="1:5" x14ac:dyDescent="0.3">
      <c r="A95">
        <v>29</v>
      </c>
      <c r="B95" t="s">
        <v>111</v>
      </c>
      <c r="C95" t="s">
        <v>9</v>
      </c>
      <c r="D95">
        <v>3</v>
      </c>
      <c r="E95" t="s">
        <v>145</v>
      </c>
    </row>
    <row r="96" spans="1:5" x14ac:dyDescent="0.3">
      <c r="A96">
        <v>29</v>
      </c>
      <c r="B96" t="s">
        <v>111</v>
      </c>
      <c r="C96" t="s">
        <v>12</v>
      </c>
      <c r="D96">
        <v>96</v>
      </c>
      <c r="E96" t="s">
        <v>145</v>
      </c>
    </row>
    <row r="97" spans="1:5" x14ac:dyDescent="0.3">
      <c r="A97">
        <v>29</v>
      </c>
      <c r="B97" t="s">
        <v>111</v>
      </c>
      <c r="C97" t="s">
        <v>15</v>
      </c>
      <c r="D97">
        <v>45</v>
      </c>
      <c r="E97" t="s">
        <v>145</v>
      </c>
    </row>
    <row r="98" spans="1:5" x14ac:dyDescent="0.3">
      <c r="A98">
        <v>29</v>
      </c>
      <c r="B98" t="s">
        <v>111</v>
      </c>
      <c r="C98" t="s">
        <v>16</v>
      </c>
      <c r="D98">
        <v>9</v>
      </c>
      <c r="E98" t="s">
        <v>145</v>
      </c>
    </row>
    <row r="99" spans="1:5" x14ac:dyDescent="0.3">
      <c r="A99">
        <v>29</v>
      </c>
      <c r="B99" t="s">
        <v>111</v>
      </c>
      <c r="C99" t="s">
        <v>17</v>
      </c>
      <c r="D99">
        <v>29</v>
      </c>
      <c r="E99" t="s">
        <v>145</v>
      </c>
    </row>
    <row r="100" spans="1:5" x14ac:dyDescent="0.3">
      <c r="A100">
        <v>31</v>
      </c>
      <c r="B100" t="s">
        <v>118</v>
      </c>
      <c r="C100" t="s">
        <v>15</v>
      </c>
      <c r="D100">
        <v>1</v>
      </c>
      <c r="E100" t="s">
        <v>144</v>
      </c>
    </row>
    <row r="101" spans="1:5" x14ac:dyDescent="0.3">
      <c r="A101">
        <v>32</v>
      </c>
      <c r="B101" t="s">
        <v>119</v>
      </c>
      <c r="C101" t="s">
        <v>12</v>
      </c>
      <c r="D101">
        <v>12</v>
      </c>
      <c r="E101" t="s">
        <v>145</v>
      </c>
    </row>
    <row r="102" spans="1:5" x14ac:dyDescent="0.3">
      <c r="A102">
        <v>32</v>
      </c>
      <c r="B102" t="s">
        <v>119</v>
      </c>
      <c r="C102" t="s">
        <v>15</v>
      </c>
      <c r="D102">
        <v>8</v>
      </c>
      <c r="E102" t="s">
        <v>148</v>
      </c>
    </row>
    <row r="103" spans="1:5" x14ac:dyDescent="0.3">
      <c r="A103">
        <v>32</v>
      </c>
      <c r="B103" t="s">
        <v>119</v>
      </c>
      <c r="C103" t="s">
        <v>17</v>
      </c>
      <c r="D103">
        <v>18</v>
      </c>
      <c r="E103" t="s">
        <v>145</v>
      </c>
    </row>
    <row r="104" spans="1:5" x14ac:dyDescent="0.3">
      <c r="A104">
        <v>33</v>
      </c>
      <c r="B104" t="s">
        <v>123</v>
      </c>
      <c r="C104" t="s">
        <v>9</v>
      </c>
      <c r="D104">
        <v>32</v>
      </c>
      <c r="E104" t="s">
        <v>144</v>
      </c>
    </row>
    <row r="105" spans="1:5" x14ac:dyDescent="0.3">
      <c r="A105">
        <v>33</v>
      </c>
      <c r="B105" t="s">
        <v>123</v>
      </c>
      <c r="C105" t="s">
        <v>12</v>
      </c>
      <c r="D105">
        <v>1</v>
      </c>
      <c r="E105" t="s">
        <v>144</v>
      </c>
    </row>
    <row r="106" spans="1:5" x14ac:dyDescent="0.3">
      <c r="A106">
        <v>33</v>
      </c>
      <c r="B106" t="s">
        <v>123</v>
      </c>
      <c r="C106" t="s">
        <v>18</v>
      </c>
      <c r="D106">
        <v>5</v>
      </c>
      <c r="E106" t="s">
        <v>144</v>
      </c>
    </row>
    <row r="107" spans="1:5" x14ac:dyDescent="0.3">
      <c r="A107">
        <v>34</v>
      </c>
      <c r="B107" t="s">
        <v>125</v>
      </c>
      <c r="C107" t="s">
        <v>12</v>
      </c>
      <c r="D107">
        <v>0.75</v>
      </c>
      <c r="E107" t="s">
        <v>144</v>
      </c>
    </row>
    <row r="108" spans="1:5" x14ac:dyDescent="0.3">
      <c r="A108">
        <v>34</v>
      </c>
      <c r="B108" t="s">
        <v>125</v>
      </c>
      <c r="C108" t="s">
        <v>18</v>
      </c>
      <c r="D108">
        <v>0.5</v>
      </c>
      <c r="E108" t="s">
        <v>144</v>
      </c>
    </row>
    <row r="109" spans="1:5" x14ac:dyDescent="0.3">
      <c r="A109">
        <v>35</v>
      </c>
      <c r="B109" t="s">
        <v>128</v>
      </c>
      <c r="C109" t="s">
        <v>9</v>
      </c>
      <c r="D109">
        <v>1</v>
      </c>
      <c r="E109" t="s">
        <v>144</v>
      </c>
    </row>
    <row r="110" spans="1:5" x14ac:dyDescent="0.3">
      <c r="A110">
        <v>35</v>
      </c>
      <c r="B110" t="s">
        <v>128</v>
      </c>
      <c r="C110" t="s">
        <v>12</v>
      </c>
      <c r="D110">
        <v>0.125</v>
      </c>
      <c r="E110" t="s">
        <v>144</v>
      </c>
    </row>
    <row r="111" spans="1:5" x14ac:dyDescent="0.3">
      <c r="A111">
        <v>35</v>
      </c>
      <c r="B111" t="s">
        <v>128</v>
      </c>
      <c r="C111" t="s">
        <v>18</v>
      </c>
      <c r="D111">
        <v>0.5</v>
      </c>
      <c r="E111" t="s">
        <v>144</v>
      </c>
    </row>
    <row r="112" spans="1:5" x14ac:dyDescent="0.3">
      <c r="A112">
        <v>36</v>
      </c>
      <c r="B112" t="s">
        <v>130</v>
      </c>
      <c r="C112" t="s">
        <v>8</v>
      </c>
      <c r="D112">
        <v>275</v>
      </c>
      <c r="E112" t="s">
        <v>144</v>
      </c>
    </row>
    <row r="113" spans="1:5" x14ac:dyDescent="0.3">
      <c r="A113">
        <v>36</v>
      </c>
      <c r="B113" t="s">
        <v>130</v>
      </c>
      <c r="C113" t="s">
        <v>9</v>
      </c>
      <c r="D113">
        <v>84</v>
      </c>
      <c r="E113" t="s">
        <v>144</v>
      </c>
    </row>
    <row r="114" spans="1:5" x14ac:dyDescent="0.3">
      <c r="A114">
        <v>36</v>
      </c>
      <c r="B114" t="s">
        <v>130</v>
      </c>
      <c r="C114" t="s">
        <v>11</v>
      </c>
      <c r="D114">
        <v>43</v>
      </c>
      <c r="E114" t="s">
        <v>144</v>
      </c>
    </row>
    <row r="115" spans="1:5" x14ac:dyDescent="0.3">
      <c r="A115">
        <v>36</v>
      </c>
      <c r="B115" t="s">
        <v>130</v>
      </c>
      <c r="C115" t="s">
        <v>12</v>
      </c>
      <c r="D115">
        <v>1</v>
      </c>
      <c r="E115" t="s">
        <v>144</v>
      </c>
    </row>
    <row r="116" spans="1:5" x14ac:dyDescent="0.3">
      <c r="A116">
        <v>36</v>
      </c>
      <c r="B116" t="s">
        <v>130</v>
      </c>
      <c r="C116" t="s">
        <v>15</v>
      </c>
      <c r="D116">
        <v>85</v>
      </c>
      <c r="E116" t="s">
        <v>144</v>
      </c>
    </row>
    <row r="117" spans="1:5" x14ac:dyDescent="0.3">
      <c r="A117">
        <v>36</v>
      </c>
      <c r="B117" t="s">
        <v>130</v>
      </c>
      <c r="C117" t="s">
        <v>16</v>
      </c>
      <c r="D117">
        <v>5</v>
      </c>
      <c r="E117" t="s">
        <v>144</v>
      </c>
    </row>
    <row r="118" spans="1:5" x14ac:dyDescent="0.3">
      <c r="A118">
        <v>36</v>
      </c>
      <c r="B118" t="s">
        <v>130</v>
      </c>
      <c r="C118" t="s">
        <v>17</v>
      </c>
      <c r="D118">
        <v>1</v>
      </c>
      <c r="E118" t="s">
        <v>144</v>
      </c>
    </row>
    <row r="119" spans="1:5" x14ac:dyDescent="0.3">
      <c r="A119">
        <v>37</v>
      </c>
      <c r="B119" t="s">
        <v>134</v>
      </c>
      <c r="C119" t="s">
        <v>16</v>
      </c>
      <c r="D119">
        <v>3</v>
      </c>
      <c r="E119" t="s">
        <v>144</v>
      </c>
    </row>
    <row r="120" spans="1:5" x14ac:dyDescent="0.3">
      <c r="A120">
        <v>38</v>
      </c>
      <c r="B120" t="s">
        <v>135</v>
      </c>
      <c r="C120" t="s">
        <v>9</v>
      </c>
      <c r="D120">
        <v>1</v>
      </c>
      <c r="E120" t="s">
        <v>144</v>
      </c>
    </row>
    <row r="121" spans="1:5" x14ac:dyDescent="0.3">
      <c r="A121">
        <v>38</v>
      </c>
      <c r="B121" t="s">
        <v>135</v>
      </c>
      <c r="C121" t="s">
        <v>12</v>
      </c>
      <c r="D121">
        <v>7.1660000000000004</v>
      </c>
      <c r="E121" t="s">
        <v>144</v>
      </c>
    </row>
    <row r="122" spans="1:5" x14ac:dyDescent="0.3">
      <c r="A122">
        <v>38</v>
      </c>
      <c r="B122" t="s">
        <v>135</v>
      </c>
      <c r="C122" t="s">
        <v>15</v>
      </c>
      <c r="D122">
        <v>1</v>
      </c>
      <c r="E122" t="s">
        <v>144</v>
      </c>
    </row>
    <row r="123" spans="1:5" x14ac:dyDescent="0.3">
      <c r="A123">
        <v>38</v>
      </c>
      <c r="B123" t="s">
        <v>135</v>
      </c>
      <c r="C123" t="s">
        <v>16</v>
      </c>
      <c r="D123">
        <v>2</v>
      </c>
      <c r="E123" t="s">
        <v>144</v>
      </c>
    </row>
    <row r="124" spans="1:5" x14ac:dyDescent="0.3">
      <c r="A124">
        <v>38</v>
      </c>
      <c r="B124" t="s">
        <v>135</v>
      </c>
      <c r="C124" t="s">
        <v>17</v>
      </c>
      <c r="D124">
        <v>10</v>
      </c>
      <c r="E124" t="s">
        <v>144</v>
      </c>
    </row>
    <row r="125" spans="1:5" x14ac:dyDescent="0.3">
      <c r="A125">
        <v>38</v>
      </c>
      <c r="B125" t="s">
        <v>135</v>
      </c>
      <c r="C125" t="s">
        <v>18</v>
      </c>
      <c r="D125">
        <v>3</v>
      </c>
      <c r="E125" t="s">
        <v>144</v>
      </c>
    </row>
  </sheetData>
  <pageMargins left="0.7" right="0.7" top="0.75" bottom="0.75" header="0.3" footer="0.3"/>
  <tableParts count="1">
    <tablePart r:id="rId1"/>
  </tableParts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B2DEA27-86E1-4624-BAEC-34FB09706B57}">
  <dimension ref="A1:D125"/>
  <sheetViews>
    <sheetView workbookViewId="0">
      <selection activeCell="G25" sqref="G25"/>
    </sheetView>
  </sheetViews>
  <sheetFormatPr defaultRowHeight="14.4" x14ac:dyDescent="0.3"/>
  <cols>
    <col min="1" max="1" width="10" bestFit="1" customWidth="1"/>
    <col min="2" max="2" width="21.44140625" bestFit="1" customWidth="1"/>
    <col min="3" max="3" width="12.21875" bestFit="1" customWidth="1"/>
    <col min="4" max="4" width="16.6640625" customWidth="1"/>
  </cols>
  <sheetData>
    <row r="1" spans="1:4" x14ac:dyDescent="0.3">
      <c r="A1" t="s">
        <v>138</v>
      </c>
      <c r="B1" t="s">
        <v>19</v>
      </c>
      <c r="C1" t="s">
        <v>140</v>
      </c>
      <c r="D1" t="s">
        <v>141</v>
      </c>
    </row>
    <row r="2" spans="1:4" x14ac:dyDescent="0.3">
      <c r="A2">
        <v>1</v>
      </c>
      <c r="B2" t="s">
        <v>21</v>
      </c>
      <c r="C2" t="s">
        <v>8</v>
      </c>
      <c r="D2" t="s">
        <v>22</v>
      </c>
    </row>
    <row r="3" spans="1:4" x14ac:dyDescent="0.3">
      <c r="A3">
        <v>1</v>
      </c>
      <c r="B3" t="s">
        <v>21</v>
      </c>
      <c r="C3" t="s">
        <v>9</v>
      </c>
      <c r="D3" t="s">
        <v>23</v>
      </c>
    </row>
    <row r="4" spans="1:4" x14ac:dyDescent="0.3">
      <c r="A4">
        <v>1</v>
      </c>
      <c r="B4" t="s">
        <v>21</v>
      </c>
      <c r="C4" t="s">
        <v>11</v>
      </c>
      <c r="D4" t="s">
        <v>24</v>
      </c>
    </row>
    <row r="5" spans="1:4" x14ac:dyDescent="0.3">
      <c r="A5">
        <v>1</v>
      </c>
      <c r="B5" t="s">
        <v>21</v>
      </c>
      <c r="C5" t="s">
        <v>12</v>
      </c>
      <c r="D5" t="s">
        <v>25</v>
      </c>
    </row>
    <row r="6" spans="1:4" x14ac:dyDescent="0.3">
      <c r="A6">
        <v>1</v>
      </c>
      <c r="B6" t="s">
        <v>21</v>
      </c>
      <c r="C6" t="s">
        <v>15</v>
      </c>
      <c r="D6" t="s">
        <v>26</v>
      </c>
    </row>
    <row r="7" spans="1:4" x14ac:dyDescent="0.3">
      <c r="A7">
        <v>2</v>
      </c>
      <c r="B7" t="s">
        <v>27</v>
      </c>
      <c r="C7" t="s">
        <v>9</v>
      </c>
      <c r="D7" t="s">
        <v>28</v>
      </c>
    </row>
    <row r="8" spans="1:4" x14ac:dyDescent="0.3">
      <c r="A8">
        <v>2</v>
      </c>
      <c r="B8" t="s">
        <v>27</v>
      </c>
      <c r="C8" t="s">
        <v>12</v>
      </c>
      <c r="D8" t="s">
        <v>29</v>
      </c>
    </row>
    <row r="9" spans="1:4" x14ac:dyDescent="0.3">
      <c r="A9">
        <v>2</v>
      </c>
      <c r="B9" t="s">
        <v>27</v>
      </c>
      <c r="C9" t="s">
        <v>13</v>
      </c>
      <c r="D9" t="s">
        <v>30</v>
      </c>
    </row>
    <row r="10" spans="1:4" x14ac:dyDescent="0.3">
      <c r="A10">
        <v>2</v>
      </c>
      <c r="B10" t="s">
        <v>27</v>
      </c>
      <c r="C10" t="s">
        <v>15</v>
      </c>
      <c r="D10" t="s">
        <v>31</v>
      </c>
    </row>
    <row r="11" spans="1:4" x14ac:dyDescent="0.3">
      <c r="A11">
        <v>2</v>
      </c>
      <c r="B11" t="s">
        <v>27</v>
      </c>
      <c r="C11" t="s">
        <v>16</v>
      </c>
      <c r="D11" t="s">
        <v>32</v>
      </c>
    </row>
    <row r="12" spans="1:4" x14ac:dyDescent="0.3">
      <c r="A12">
        <v>2</v>
      </c>
      <c r="B12" t="s">
        <v>27</v>
      </c>
      <c r="C12" t="s">
        <v>17</v>
      </c>
      <c r="D12" t="s">
        <v>33</v>
      </c>
    </row>
    <row r="13" spans="1:4" x14ac:dyDescent="0.3">
      <c r="A13">
        <v>4</v>
      </c>
      <c r="B13" t="s">
        <v>35</v>
      </c>
      <c r="C13" t="s">
        <v>8</v>
      </c>
      <c r="D13" t="s">
        <v>26</v>
      </c>
    </row>
    <row r="14" spans="1:4" x14ac:dyDescent="0.3">
      <c r="A14">
        <v>4</v>
      </c>
      <c r="B14" t="s">
        <v>35</v>
      </c>
      <c r="C14" t="s">
        <v>9</v>
      </c>
      <c r="D14" t="s">
        <v>36</v>
      </c>
    </row>
    <row r="15" spans="1:4" x14ac:dyDescent="0.3">
      <c r="A15">
        <v>4</v>
      </c>
      <c r="B15" t="s">
        <v>35</v>
      </c>
      <c r="C15" t="s">
        <v>12</v>
      </c>
      <c r="D15" t="s">
        <v>37</v>
      </c>
    </row>
    <row r="16" spans="1:4" x14ac:dyDescent="0.3">
      <c r="A16">
        <v>4</v>
      </c>
      <c r="B16" t="s">
        <v>35</v>
      </c>
      <c r="C16" t="s">
        <v>13</v>
      </c>
      <c r="D16" t="s">
        <v>23</v>
      </c>
    </row>
    <row r="17" spans="1:4" x14ac:dyDescent="0.3">
      <c r="A17">
        <v>4</v>
      </c>
      <c r="B17" t="s">
        <v>35</v>
      </c>
      <c r="C17" t="s">
        <v>18</v>
      </c>
      <c r="D17" t="s">
        <v>38</v>
      </c>
    </row>
    <row r="18" spans="1:4" x14ac:dyDescent="0.3">
      <c r="A18">
        <v>5</v>
      </c>
      <c r="B18" t="s">
        <v>39</v>
      </c>
      <c r="C18" t="s">
        <v>8</v>
      </c>
      <c r="D18" t="s">
        <v>40</v>
      </c>
    </row>
    <row r="19" spans="1:4" x14ac:dyDescent="0.3">
      <c r="A19">
        <v>5</v>
      </c>
      <c r="B19" t="s">
        <v>39</v>
      </c>
      <c r="C19" t="s">
        <v>9</v>
      </c>
      <c r="D19" t="s">
        <v>41</v>
      </c>
    </row>
    <row r="20" spans="1:4" x14ac:dyDescent="0.3">
      <c r="A20">
        <v>5</v>
      </c>
      <c r="B20" t="s">
        <v>39</v>
      </c>
      <c r="C20" t="s">
        <v>11</v>
      </c>
      <c r="D20" t="s">
        <v>42</v>
      </c>
    </row>
    <row r="21" spans="1:4" x14ac:dyDescent="0.3">
      <c r="A21">
        <v>5</v>
      </c>
      <c r="B21" t="s">
        <v>39</v>
      </c>
      <c r="C21" t="s">
        <v>12</v>
      </c>
      <c r="D21" t="s">
        <v>43</v>
      </c>
    </row>
    <row r="22" spans="1:4" x14ac:dyDescent="0.3">
      <c r="A22">
        <v>5</v>
      </c>
      <c r="B22" t="s">
        <v>39</v>
      </c>
      <c r="C22" t="s">
        <v>17</v>
      </c>
      <c r="D22" t="s">
        <v>23</v>
      </c>
    </row>
    <row r="23" spans="1:4" x14ac:dyDescent="0.3">
      <c r="A23">
        <v>6</v>
      </c>
      <c r="B23" t="s">
        <v>44</v>
      </c>
      <c r="C23" t="s">
        <v>8</v>
      </c>
      <c r="D23" t="s">
        <v>45</v>
      </c>
    </row>
    <row r="24" spans="1:4" x14ac:dyDescent="0.3">
      <c r="A24">
        <v>6</v>
      </c>
      <c r="B24" t="s">
        <v>44</v>
      </c>
      <c r="C24" t="s">
        <v>9</v>
      </c>
      <c r="D24" t="s">
        <v>46</v>
      </c>
    </row>
    <row r="25" spans="1:4" x14ac:dyDescent="0.3">
      <c r="A25">
        <v>6</v>
      </c>
      <c r="B25" t="s">
        <v>44</v>
      </c>
      <c r="C25" t="s">
        <v>12</v>
      </c>
      <c r="D25" t="s">
        <v>47</v>
      </c>
    </row>
    <row r="26" spans="1:4" x14ac:dyDescent="0.3">
      <c r="A26">
        <v>6</v>
      </c>
      <c r="B26" t="s">
        <v>44</v>
      </c>
      <c r="C26" t="s">
        <v>13</v>
      </c>
      <c r="D26" t="s">
        <v>48</v>
      </c>
    </row>
    <row r="27" spans="1:4" x14ac:dyDescent="0.3">
      <c r="A27">
        <v>6</v>
      </c>
      <c r="B27" t="s">
        <v>44</v>
      </c>
      <c r="C27" t="s">
        <v>15</v>
      </c>
      <c r="D27" t="s">
        <v>49</v>
      </c>
    </row>
    <row r="28" spans="1:4" x14ac:dyDescent="0.3">
      <c r="A28">
        <v>6</v>
      </c>
      <c r="B28" t="s">
        <v>44</v>
      </c>
      <c r="C28" t="s">
        <v>16</v>
      </c>
      <c r="D28" t="s">
        <v>50</v>
      </c>
    </row>
    <row r="29" spans="1:4" x14ac:dyDescent="0.3">
      <c r="A29">
        <v>6</v>
      </c>
      <c r="B29" t="s">
        <v>44</v>
      </c>
      <c r="C29" t="s">
        <v>17</v>
      </c>
      <c r="D29" t="s">
        <v>51</v>
      </c>
    </row>
    <row r="30" spans="1:4" x14ac:dyDescent="0.3">
      <c r="A30">
        <v>6</v>
      </c>
      <c r="B30" t="s">
        <v>44</v>
      </c>
      <c r="C30" t="s">
        <v>18</v>
      </c>
      <c r="D30" t="s">
        <v>52</v>
      </c>
    </row>
    <row r="31" spans="1:4" x14ac:dyDescent="0.3">
      <c r="A31">
        <v>7</v>
      </c>
      <c r="B31" t="s">
        <v>53</v>
      </c>
      <c r="C31" t="s">
        <v>9</v>
      </c>
      <c r="D31" t="s">
        <v>54</v>
      </c>
    </row>
    <row r="32" spans="1:4" x14ac:dyDescent="0.3">
      <c r="A32">
        <v>7</v>
      </c>
      <c r="B32" t="s">
        <v>53</v>
      </c>
      <c r="C32" t="s">
        <v>12</v>
      </c>
      <c r="D32" t="s">
        <v>55</v>
      </c>
    </row>
    <row r="33" spans="1:4" x14ac:dyDescent="0.3">
      <c r="A33">
        <v>7</v>
      </c>
      <c r="B33" t="s">
        <v>53</v>
      </c>
      <c r="C33" t="s">
        <v>13</v>
      </c>
      <c r="D33" t="s">
        <v>56</v>
      </c>
    </row>
    <row r="34" spans="1:4" x14ac:dyDescent="0.3">
      <c r="A34">
        <v>7</v>
      </c>
      <c r="B34" t="s">
        <v>53</v>
      </c>
      <c r="C34" t="s">
        <v>15</v>
      </c>
      <c r="D34" t="s">
        <v>57</v>
      </c>
    </row>
    <row r="35" spans="1:4" x14ac:dyDescent="0.3">
      <c r="A35">
        <v>7</v>
      </c>
      <c r="B35" t="s">
        <v>53</v>
      </c>
      <c r="C35" t="s">
        <v>17</v>
      </c>
      <c r="D35" t="s">
        <v>58</v>
      </c>
    </row>
    <row r="36" spans="1:4" x14ac:dyDescent="0.3">
      <c r="A36">
        <v>7</v>
      </c>
      <c r="B36" t="s">
        <v>53</v>
      </c>
      <c r="C36" t="s">
        <v>18</v>
      </c>
      <c r="D36" t="s">
        <v>56</v>
      </c>
    </row>
    <row r="37" spans="1:4" x14ac:dyDescent="0.3">
      <c r="A37">
        <v>2</v>
      </c>
      <c r="B37" t="s">
        <v>59</v>
      </c>
      <c r="C37" t="s">
        <v>12</v>
      </c>
      <c r="D37" t="s">
        <v>60</v>
      </c>
    </row>
    <row r="38" spans="1:4" x14ac:dyDescent="0.3">
      <c r="A38">
        <v>2</v>
      </c>
      <c r="B38" t="s">
        <v>59</v>
      </c>
      <c r="C38" t="s">
        <v>13</v>
      </c>
      <c r="D38" t="s">
        <v>61</v>
      </c>
    </row>
    <row r="39" spans="1:4" x14ac:dyDescent="0.3">
      <c r="A39">
        <v>2</v>
      </c>
      <c r="B39" t="s">
        <v>59</v>
      </c>
      <c r="C39" t="s">
        <v>15</v>
      </c>
      <c r="D39" t="s">
        <v>62</v>
      </c>
    </row>
    <row r="40" spans="1:4" x14ac:dyDescent="0.3">
      <c r="A40">
        <v>2</v>
      </c>
      <c r="B40" t="s">
        <v>59</v>
      </c>
      <c r="C40" t="s">
        <v>17</v>
      </c>
      <c r="D40" t="s">
        <v>58</v>
      </c>
    </row>
    <row r="41" spans="1:4" x14ac:dyDescent="0.3">
      <c r="A41">
        <v>2</v>
      </c>
      <c r="B41" t="s">
        <v>59</v>
      </c>
      <c r="C41" t="s">
        <v>18</v>
      </c>
      <c r="D41" t="s">
        <v>63</v>
      </c>
    </row>
    <row r="42" spans="1:4" x14ac:dyDescent="0.3">
      <c r="A42">
        <v>9</v>
      </c>
      <c r="B42" t="s">
        <v>64</v>
      </c>
      <c r="C42" t="s">
        <v>9</v>
      </c>
      <c r="D42" t="s">
        <v>65</v>
      </c>
    </row>
    <row r="43" spans="1:4" x14ac:dyDescent="0.3">
      <c r="A43">
        <v>10</v>
      </c>
      <c r="B43" t="s">
        <v>66</v>
      </c>
      <c r="C43" t="s">
        <v>9</v>
      </c>
      <c r="D43" t="s">
        <v>42</v>
      </c>
    </row>
    <row r="44" spans="1:4" x14ac:dyDescent="0.3">
      <c r="A44">
        <v>10</v>
      </c>
      <c r="B44" t="s">
        <v>66</v>
      </c>
      <c r="C44" t="s">
        <v>11</v>
      </c>
      <c r="D44" t="s">
        <v>37</v>
      </c>
    </row>
    <row r="45" spans="1:4" x14ac:dyDescent="0.3">
      <c r="A45">
        <v>11</v>
      </c>
      <c r="B45" t="s">
        <v>67</v>
      </c>
      <c r="C45" t="s">
        <v>12</v>
      </c>
      <c r="D45" t="s">
        <v>42</v>
      </c>
    </row>
    <row r="46" spans="1:4" x14ac:dyDescent="0.3">
      <c r="A46">
        <v>11</v>
      </c>
      <c r="B46" t="s">
        <v>67</v>
      </c>
      <c r="C46" t="s">
        <v>16</v>
      </c>
      <c r="D46" t="s">
        <v>45</v>
      </c>
    </row>
    <row r="47" spans="1:4" x14ac:dyDescent="0.3">
      <c r="A47">
        <v>12</v>
      </c>
      <c r="B47" t="s">
        <v>68</v>
      </c>
      <c r="C47" t="s">
        <v>8</v>
      </c>
      <c r="D47" t="s">
        <v>42</v>
      </c>
    </row>
    <row r="48" spans="1:4" x14ac:dyDescent="0.3">
      <c r="A48">
        <v>12</v>
      </c>
      <c r="B48" t="s">
        <v>68</v>
      </c>
      <c r="C48" t="s">
        <v>9</v>
      </c>
      <c r="D48" t="s">
        <v>30</v>
      </c>
    </row>
    <row r="49" spans="1:4" x14ac:dyDescent="0.3">
      <c r="A49">
        <v>12</v>
      </c>
      <c r="B49" t="s">
        <v>68</v>
      </c>
      <c r="C49" t="s">
        <v>10</v>
      </c>
      <c r="D49" t="s">
        <v>23</v>
      </c>
    </row>
    <row r="50" spans="1:4" x14ac:dyDescent="0.3">
      <c r="A50">
        <v>12</v>
      </c>
      <c r="B50" t="s">
        <v>68</v>
      </c>
      <c r="C50" t="s">
        <v>11</v>
      </c>
      <c r="D50" t="s">
        <v>33</v>
      </c>
    </row>
    <row r="51" spans="1:4" x14ac:dyDescent="0.3">
      <c r="A51">
        <v>12</v>
      </c>
      <c r="B51" t="s">
        <v>68</v>
      </c>
      <c r="C51" t="s">
        <v>12</v>
      </c>
      <c r="D51" t="s">
        <v>42</v>
      </c>
    </row>
    <row r="52" spans="1:4" x14ac:dyDescent="0.3">
      <c r="A52">
        <v>12</v>
      </c>
      <c r="B52" t="s">
        <v>68</v>
      </c>
      <c r="C52" t="s">
        <v>16</v>
      </c>
      <c r="D52" t="s">
        <v>69</v>
      </c>
    </row>
    <row r="53" spans="1:4" x14ac:dyDescent="0.3">
      <c r="A53">
        <v>12</v>
      </c>
      <c r="B53" t="s">
        <v>68</v>
      </c>
      <c r="C53" t="s">
        <v>17</v>
      </c>
      <c r="D53" t="s">
        <v>26</v>
      </c>
    </row>
    <row r="54" spans="1:4" x14ac:dyDescent="0.3">
      <c r="A54">
        <v>13</v>
      </c>
      <c r="B54" t="s">
        <v>70</v>
      </c>
      <c r="C54" t="s">
        <v>12</v>
      </c>
      <c r="D54" t="s">
        <v>42</v>
      </c>
    </row>
    <row r="55" spans="1:4" x14ac:dyDescent="0.3">
      <c r="A55">
        <v>14</v>
      </c>
      <c r="B55" t="s">
        <v>71</v>
      </c>
      <c r="C55" t="s">
        <v>9</v>
      </c>
      <c r="D55" t="s">
        <v>72</v>
      </c>
    </row>
    <row r="56" spans="1:4" x14ac:dyDescent="0.3">
      <c r="A56">
        <v>15</v>
      </c>
      <c r="B56" t="s">
        <v>73</v>
      </c>
      <c r="C56" t="s">
        <v>8</v>
      </c>
      <c r="D56" t="s">
        <v>74</v>
      </c>
    </row>
    <row r="57" spans="1:4" x14ac:dyDescent="0.3">
      <c r="A57">
        <v>15</v>
      </c>
      <c r="B57" t="s">
        <v>73</v>
      </c>
      <c r="C57" t="s">
        <v>9</v>
      </c>
      <c r="D57" t="s">
        <v>75</v>
      </c>
    </row>
    <row r="58" spans="1:4" x14ac:dyDescent="0.3">
      <c r="A58">
        <v>15</v>
      </c>
      <c r="B58" t="s">
        <v>73</v>
      </c>
      <c r="C58" t="s">
        <v>10</v>
      </c>
      <c r="D58" t="s">
        <v>45</v>
      </c>
    </row>
    <row r="59" spans="1:4" x14ac:dyDescent="0.3">
      <c r="A59">
        <v>15</v>
      </c>
      <c r="B59" t="s">
        <v>73</v>
      </c>
      <c r="C59" t="s">
        <v>11</v>
      </c>
      <c r="D59" t="s">
        <v>76</v>
      </c>
    </row>
    <row r="60" spans="1:4" x14ac:dyDescent="0.3">
      <c r="A60">
        <v>15</v>
      </c>
      <c r="B60" t="s">
        <v>73</v>
      </c>
      <c r="C60" t="s">
        <v>12</v>
      </c>
      <c r="D60" t="s">
        <v>25</v>
      </c>
    </row>
    <row r="61" spans="1:4" x14ac:dyDescent="0.3">
      <c r="A61">
        <v>15</v>
      </c>
      <c r="B61" t="s">
        <v>73</v>
      </c>
      <c r="C61" t="s">
        <v>18</v>
      </c>
      <c r="D61" t="s">
        <v>65</v>
      </c>
    </row>
    <row r="62" spans="1:4" x14ac:dyDescent="0.3">
      <c r="A62">
        <v>17</v>
      </c>
      <c r="B62" t="s">
        <v>78</v>
      </c>
      <c r="C62" t="s">
        <v>9</v>
      </c>
      <c r="D62" t="s">
        <v>79</v>
      </c>
    </row>
    <row r="63" spans="1:4" x14ac:dyDescent="0.3">
      <c r="A63">
        <v>18</v>
      </c>
      <c r="B63" t="s">
        <v>80</v>
      </c>
      <c r="C63" t="s">
        <v>9</v>
      </c>
      <c r="D63" t="s">
        <v>81</v>
      </c>
    </row>
    <row r="64" spans="1:4" x14ac:dyDescent="0.3">
      <c r="A64">
        <v>18</v>
      </c>
      <c r="B64" t="s">
        <v>80</v>
      </c>
      <c r="C64" t="s">
        <v>12</v>
      </c>
      <c r="D64" t="s">
        <v>82</v>
      </c>
    </row>
    <row r="65" spans="1:4" x14ac:dyDescent="0.3">
      <c r="A65">
        <v>18</v>
      </c>
      <c r="B65" t="s">
        <v>80</v>
      </c>
      <c r="C65" t="s">
        <v>13</v>
      </c>
      <c r="D65" t="s">
        <v>83</v>
      </c>
    </row>
    <row r="66" spans="1:4" x14ac:dyDescent="0.3">
      <c r="A66">
        <v>18</v>
      </c>
      <c r="B66" t="s">
        <v>80</v>
      </c>
      <c r="C66" t="s">
        <v>16</v>
      </c>
      <c r="D66" t="s">
        <v>83</v>
      </c>
    </row>
    <row r="67" spans="1:4" x14ac:dyDescent="0.3">
      <c r="A67">
        <v>20</v>
      </c>
      <c r="B67" t="s">
        <v>85</v>
      </c>
      <c r="C67" t="s">
        <v>9</v>
      </c>
      <c r="D67" t="s">
        <v>86</v>
      </c>
    </row>
    <row r="68" spans="1:4" x14ac:dyDescent="0.3">
      <c r="A68">
        <v>20</v>
      </c>
      <c r="B68" t="s">
        <v>85</v>
      </c>
      <c r="C68" t="s">
        <v>12</v>
      </c>
      <c r="D68" t="s">
        <v>87</v>
      </c>
    </row>
    <row r="69" spans="1:4" x14ac:dyDescent="0.3">
      <c r="A69">
        <v>20</v>
      </c>
      <c r="B69" t="s">
        <v>85</v>
      </c>
      <c r="C69" t="s">
        <v>15</v>
      </c>
      <c r="D69" t="s">
        <v>88</v>
      </c>
    </row>
    <row r="70" spans="1:4" x14ac:dyDescent="0.3">
      <c r="A70">
        <v>20</v>
      </c>
      <c r="B70" t="s">
        <v>85</v>
      </c>
      <c r="C70" t="s">
        <v>16</v>
      </c>
      <c r="D70" t="s">
        <v>89</v>
      </c>
    </row>
    <row r="71" spans="1:4" x14ac:dyDescent="0.3">
      <c r="A71">
        <v>20</v>
      </c>
      <c r="B71" t="s">
        <v>85</v>
      </c>
      <c r="C71" t="s">
        <v>17</v>
      </c>
      <c r="D71" t="s">
        <v>90</v>
      </c>
    </row>
    <row r="72" spans="1:4" x14ac:dyDescent="0.3">
      <c r="A72">
        <v>23</v>
      </c>
      <c r="B72" t="s">
        <v>93</v>
      </c>
      <c r="C72" t="s">
        <v>8</v>
      </c>
      <c r="D72" t="s">
        <v>42</v>
      </c>
    </row>
    <row r="73" spans="1:4" x14ac:dyDescent="0.3">
      <c r="A73">
        <v>23</v>
      </c>
      <c r="B73" t="s">
        <v>93</v>
      </c>
      <c r="C73" t="s">
        <v>9</v>
      </c>
      <c r="D73" t="s">
        <v>94</v>
      </c>
    </row>
    <row r="74" spans="1:4" x14ac:dyDescent="0.3">
      <c r="A74">
        <v>23</v>
      </c>
      <c r="B74" t="s">
        <v>93</v>
      </c>
      <c r="C74" t="s">
        <v>12</v>
      </c>
      <c r="D74" t="s">
        <v>95</v>
      </c>
    </row>
    <row r="75" spans="1:4" x14ac:dyDescent="0.3">
      <c r="A75">
        <v>23</v>
      </c>
      <c r="B75" t="s">
        <v>93</v>
      </c>
      <c r="C75" t="s">
        <v>15</v>
      </c>
      <c r="D75" t="s">
        <v>42</v>
      </c>
    </row>
    <row r="76" spans="1:4" x14ac:dyDescent="0.3">
      <c r="A76">
        <v>23</v>
      </c>
      <c r="B76" t="s">
        <v>93</v>
      </c>
      <c r="C76" t="s">
        <v>16</v>
      </c>
      <c r="D76" t="s">
        <v>96</v>
      </c>
    </row>
    <row r="77" spans="1:4" x14ac:dyDescent="0.3">
      <c r="A77">
        <v>23</v>
      </c>
      <c r="B77" t="s">
        <v>93</v>
      </c>
      <c r="C77" t="s">
        <v>18</v>
      </c>
      <c r="D77" t="s">
        <v>42</v>
      </c>
    </row>
    <row r="78" spans="1:4" x14ac:dyDescent="0.3">
      <c r="A78">
        <v>24</v>
      </c>
      <c r="B78" t="s">
        <v>97</v>
      </c>
      <c r="C78" t="s">
        <v>13</v>
      </c>
      <c r="D78" t="s">
        <v>30</v>
      </c>
    </row>
    <row r="79" spans="1:4" x14ac:dyDescent="0.3">
      <c r="A79">
        <v>24</v>
      </c>
      <c r="B79" t="s">
        <v>97</v>
      </c>
      <c r="C79" t="s">
        <v>16</v>
      </c>
      <c r="D79" t="s">
        <v>42</v>
      </c>
    </row>
    <row r="80" spans="1:4" x14ac:dyDescent="0.3">
      <c r="A80">
        <v>24</v>
      </c>
      <c r="B80" t="s">
        <v>97</v>
      </c>
      <c r="C80" t="s">
        <v>17</v>
      </c>
      <c r="D80" t="s">
        <v>98</v>
      </c>
    </row>
    <row r="81" spans="1:4" x14ac:dyDescent="0.3">
      <c r="A81">
        <v>25</v>
      </c>
      <c r="B81" t="s">
        <v>99</v>
      </c>
      <c r="C81" t="s">
        <v>9</v>
      </c>
      <c r="D81" t="s">
        <v>100</v>
      </c>
    </row>
    <row r="82" spans="1:4" x14ac:dyDescent="0.3">
      <c r="A82">
        <v>25</v>
      </c>
      <c r="B82" t="s">
        <v>99</v>
      </c>
      <c r="C82" t="s">
        <v>12</v>
      </c>
      <c r="D82" t="s">
        <v>101</v>
      </c>
    </row>
    <row r="83" spans="1:4" x14ac:dyDescent="0.3">
      <c r="A83">
        <v>25</v>
      </c>
      <c r="B83" t="s">
        <v>99</v>
      </c>
      <c r="C83" t="s">
        <v>13</v>
      </c>
      <c r="D83" t="s">
        <v>102</v>
      </c>
    </row>
    <row r="84" spans="1:4" x14ac:dyDescent="0.3">
      <c r="A84">
        <v>25</v>
      </c>
      <c r="B84" t="s">
        <v>99</v>
      </c>
      <c r="C84" t="s">
        <v>15</v>
      </c>
      <c r="D84" t="s">
        <v>103</v>
      </c>
    </row>
    <row r="85" spans="1:4" x14ac:dyDescent="0.3">
      <c r="A85">
        <v>25</v>
      </c>
      <c r="B85" t="s">
        <v>99</v>
      </c>
      <c r="C85" t="s">
        <v>16</v>
      </c>
      <c r="D85" t="s">
        <v>104</v>
      </c>
    </row>
    <row r="86" spans="1:4" x14ac:dyDescent="0.3">
      <c r="A86">
        <v>25</v>
      </c>
      <c r="B86" t="s">
        <v>99</v>
      </c>
      <c r="C86" t="s">
        <v>17</v>
      </c>
      <c r="D86" t="s">
        <v>69</v>
      </c>
    </row>
    <row r="87" spans="1:4" x14ac:dyDescent="0.3">
      <c r="A87">
        <v>25</v>
      </c>
      <c r="B87" t="s">
        <v>99</v>
      </c>
      <c r="C87" t="s">
        <v>18</v>
      </c>
      <c r="D87" t="s">
        <v>105</v>
      </c>
    </row>
    <row r="88" spans="1:4" x14ac:dyDescent="0.3">
      <c r="A88">
        <v>26</v>
      </c>
      <c r="B88" t="s">
        <v>106</v>
      </c>
      <c r="C88" t="s">
        <v>9</v>
      </c>
      <c r="D88" t="s">
        <v>42</v>
      </c>
    </row>
    <row r="89" spans="1:4" x14ac:dyDescent="0.3">
      <c r="A89">
        <v>26</v>
      </c>
      <c r="B89" t="s">
        <v>106</v>
      </c>
      <c r="C89" t="s">
        <v>12</v>
      </c>
      <c r="D89" t="s">
        <v>26</v>
      </c>
    </row>
    <row r="90" spans="1:4" x14ac:dyDescent="0.3">
      <c r="A90">
        <v>26</v>
      </c>
      <c r="B90" t="s">
        <v>106</v>
      </c>
      <c r="C90" t="s">
        <v>13</v>
      </c>
      <c r="D90" t="s">
        <v>42</v>
      </c>
    </row>
    <row r="91" spans="1:4" x14ac:dyDescent="0.3">
      <c r="A91">
        <v>27</v>
      </c>
      <c r="B91" t="s">
        <v>107</v>
      </c>
      <c r="C91" t="s">
        <v>12</v>
      </c>
      <c r="D91" t="s">
        <v>42</v>
      </c>
    </row>
    <row r="92" spans="1:4" x14ac:dyDescent="0.3">
      <c r="A92">
        <v>28</v>
      </c>
      <c r="B92" t="s">
        <v>108</v>
      </c>
      <c r="C92" t="s">
        <v>15</v>
      </c>
      <c r="D92" t="s">
        <v>109</v>
      </c>
    </row>
    <row r="93" spans="1:4" x14ac:dyDescent="0.3">
      <c r="A93">
        <v>28</v>
      </c>
      <c r="B93" t="s">
        <v>108</v>
      </c>
      <c r="C93" t="s">
        <v>16</v>
      </c>
      <c r="D93" t="s">
        <v>109</v>
      </c>
    </row>
    <row r="94" spans="1:4" x14ac:dyDescent="0.3">
      <c r="A94">
        <v>28</v>
      </c>
      <c r="B94" t="s">
        <v>108</v>
      </c>
      <c r="C94" t="s">
        <v>17</v>
      </c>
      <c r="D94" t="s">
        <v>110</v>
      </c>
    </row>
    <row r="95" spans="1:4" x14ac:dyDescent="0.3">
      <c r="A95">
        <v>29</v>
      </c>
      <c r="B95" t="s">
        <v>111</v>
      </c>
      <c r="C95" t="s">
        <v>9</v>
      </c>
      <c r="D95" t="s">
        <v>112</v>
      </c>
    </row>
    <row r="96" spans="1:4" x14ac:dyDescent="0.3">
      <c r="A96">
        <v>29</v>
      </c>
      <c r="B96" t="s">
        <v>111</v>
      </c>
      <c r="C96" t="s">
        <v>12</v>
      </c>
      <c r="D96" t="s">
        <v>113</v>
      </c>
    </row>
    <row r="97" spans="1:4" x14ac:dyDescent="0.3">
      <c r="A97">
        <v>29</v>
      </c>
      <c r="B97" t="s">
        <v>111</v>
      </c>
      <c r="C97" t="s">
        <v>15</v>
      </c>
      <c r="D97" t="s">
        <v>114</v>
      </c>
    </row>
    <row r="98" spans="1:4" x14ac:dyDescent="0.3">
      <c r="A98">
        <v>29</v>
      </c>
      <c r="B98" t="s">
        <v>111</v>
      </c>
      <c r="C98" t="s">
        <v>16</v>
      </c>
      <c r="D98" t="s">
        <v>115</v>
      </c>
    </row>
    <row r="99" spans="1:4" x14ac:dyDescent="0.3">
      <c r="A99">
        <v>29</v>
      </c>
      <c r="B99" t="s">
        <v>111</v>
      </c>
      <c r="C99" t="s">
        <v>17</v>
      </c>
      <c r="D99" t="s">
        <v>116</v>
      </c>
    </row>
    <row r="100" spans="1:4" x14ac:dyDescent="0.3">
      <c r="A100">
        <v>31</v>
      </c>
      <c r="B100" t="s">
        <v>118</v>
      </c>
      <c r="C100" t="s">
        <v>15</v>
      </c>
      <c r="D100" t="s">
        <v>42</v>
      </c>
    </row>
    <row r="101" spans="1:4" x14ac:dyDescent="0.3">
      <c r="A101">
        <v>32</v>
      </c>
      <c r="B101" t="s">
        <v>119</v>
      </c>
      <c r="C101" t="s">
        <v>12</v>
      </c>
      <c r="D101" t="s">
        <v>120</v>
      </c>
    </row>
    <row r="102" spans="1:4" x14ac:dyDescent="0.3">
      <c r="A102">
        <v>32</v>
      </c>
      <c r="B102" t="s">
        <v>119</v>
      </c>
      <c r="C102" t="s">
        <v>15</v>
      </c>
      <c r="D102" t="s">
        <v>121</v>
      </c>
    </row>
    <row r="103" spans="1:4" x14ac:dyDescent="0.3">
      <c r="A103">
        <v>32</v>
      </c>
      <c r="B103" t="s">
        <v>119</v>
      </c>
      <c r="C103" t="s">
        <v>17</v>
      </c>
      <c r="D103" t="s">
        <v>122</v>
      </c>
    </row>
    <row r="104" spans="1:4" x14ac:dyDescent="0.3">
      <c r="A104">
        <v>33</v>
      </c>
      <c r="B104" t="s">
        <v>123</v>
      </c>
      <c r="C104" t="s">
        <v>9</v>
      </c>
      <c r="D104" t="s">
        <v>124</v>
      </c>
    </row>
    <row r="105" spans="1:4" x14ac:dyDescent="0.3">
      <c r="A105">
        <v>33</v>
      </c>
      <c r="B105" t="s">
        <v>123</v>
      </c>
      <c r="C105" t="s">
        <v>12</v>
      </c>
      <c r="D105" t="s">
        <v>42</v>
      </c>
    </row>
    <row r="106" spans="1:4" x14ac:dyDescent="0.3">
      <c r="A106">
        <v>33</v>
      </c>
      <c r="B106" t="s">
        <v>123</v>
      </c>
      <c r="C106" t="s">
        <v>18</v>
      </c>
      <c r="D106" t="s">
        <v>30</v>
      </c>
    </row>
    <row r="107" spans="1:4" x14ac:dyDescent="0.3">
      <c r="A107">
        <v>34</v>
      </c>
      <c r="B107" t="s">
        <v>125</v>
      </c>
      <c r="C107" t="s">
        <v>12</v>
      </c>
      <c r="D107" t="s">
        <v>126</v>
      </c>
    </row>
    <row r="108" spans="1:4" x14ac:dyDescent="0.3">
      <c r="A108">
        <v>34</v>
      </c>
      <c r="B108" t="s">
        <v>125</v>
      </c>
      <c r="C108" t="s">
        <v>18</v>
      </c>
      <c r="D108" t="s">
        <v>127</v>
      </c>
    </row>
    <row r="109" spans="1:4" x14ac:dyDescent="0.3">
      <c r="A109">
        <v>35</v>
      </c>
      <c r="B109" t="s">
        <v>128</v>
      </c>
      <c r="C109" t="s">
        <v>9</v>
      </c>
      <c r="D109" t="s">
        <v>42</v>
      </c>
    </row>
    <row r="110" spans="1:4" x14ac:dyDescent="0.3">
      <c r="A110">
        <v>35</v>
      </c>
      <c r="B110" t="s">
        <v>128</v>
      </c>
      <c r="C110" t="s">
        <v>12</v>
      </c>
      <c r="D110" t="s">
        <v>129</v>
      </c>
    </row>
    <row r="111" spans="1:4" x14ac:dyDescent="0.3">
      <c r="A111">
        <v>35</v>
      </c>
      <c r="B111" t="s">
        <v>128</v>
      </c>
      <c r="C111" t="s">
        <v>18</v>
      </c>
      <c r="D111" t="s">
        <v>127</v>
      </c>
    </row>
    <row r="112" spans="1:4" x14ac:dyDescent="0.3">
      <c r="A112">
        <v>36</v>
      </c>
      <c r="B112" t="s">
        <v>130</v>
      </c>
      <c r="C112" t="s">
        <v>8</v>
      </c>
      <c r="D112" t="s">
        <v>131</v>
      </c>
    </row>
    <row r="113" spans="1:4" x14ac:dyDescent="0.3">
      <c r="A113">
        <v>36</v>
      </c>
      <c r="B113" t="s">
        <v>130</v>
      </c>
      <c r="C113" t="s">
        <v>9</v>
      </c>
      <c r="D113" t="s">
        <v>132</v>
      </c>
    </row>
    <row r="114" spans="1:4" x14ac:dyDescent="0.3">
      <c r="A114">
        <v>36</v>
      </c>
      <c r="B114" t="s">
        <v>130</v>
      </c>
      <c r="C114" t="s">
        <v>11</v>
      </c>
      <c r="D114" t="s">
        <v>75</v>
      </c>
    </row>
    <row r="115" spans="1:4" x14ac:dyDescent="0.3">
      <c r="A115">
        <v>36</v>
      </c>
      <c r="B115" t="s">
        <v>130</v>
      </c>
      <c r="C115" t="s">
        <v>12</v>
      </c>
      <c r="D115" t="s">
        <v>42</v>
      </c>
    </row>
    <row r="116" spans="1:4" x14ac:dyDescent="0.3">
      <c r="A116">
        <v>36</v>
      </c>
      <c r="B116" t="s">
        <v>130</v>
      </c>
      <c r="C116" t="s">
        <v>15</v>
      </c>
      <c r="D116" t="s">
        <v>133</v>
      </c>
    </row>
    <row r="117" spans="1:4" x14ac:dyDescent="0.3">
      <c r="A117">
        <v>36</v>
      </c>
      <c r="B117" t="s">
        <v>130</v>
      </c>
      <c r="C117" t="s">
        <v>16</v>
      </c>
      <c r="D117" t="s">
        <v>30</v>
      </c>
    </row>
    <row r="118" spans="1:4" x14ac:dyDescent="0.3">
      <c r="A118">
        <v>36</v>
      </c>
      <c r="B118" t="s">
        <v>130</v>
      </c>
      <c r="C118" t="s">
        <v>17</v>
      </c>
      <c r="D118" t="s">
        <v>42</v>
      </c>
    </row>
    <row r="119" spans="1:4" x14ac:dyDescent="0.3">
      <c r="A119">
        <v>37</v>
      </c>
      <c r="B119" t="s">
        <v>134</v>
      </c>
      <c r="C119" t="s">
        <v>16</v>
      </c>
      <c r="D119" t="s">
        <v>26</v>
      </c>
    </row>
    <row r="120" spans="1:4" x14ac:dyDescent="0.3">
      <c r="A120">
        <v>38</v>
      </c>
      <c r="B120" t="s">
        <v>135</v>
      </c>
      <c r="C120" t="s">
        <v>9</v>
      </c>
      <c r="D120" t="s">
        <v>42</v>
      </c>
    </row>
    <row r="121" spans="1:4" x14ac:dyDescent="0.3">
      <c r="A121">
        <v>38</v>
      </c>
      <c r="B121" t="s">
        <v>135</v>
      </c>
      <c r="C121" t="s">
        <v>12</v>
      </c>
      <c r="D121" t="s">
        <v>136</v>
      </c>
    </row>
    <row r="122" spans="1:4" x14ac:dyDescent="0.3">
      <c r="A122">
        <v>38</v>
      </c>
      <c r="B122" t="s">
        <v>135</v>
      </c>
      <c r="C122" t="s">
        <v>15</v>
      </c>
      <c r="D122" t="s">
        <v>42</v>
      </c>
    </row>
    <row r="123" spans="1:4" x14ac:dyDescent="0.3">
      <c r="A123">
        <v>38</v>
      </c>
      <c r="B123" t="s">
        <v>135</v>
      </c>
      <c r="C123" t="s">
        <v>16</v>
      </c>
      <c r="D123" t="s">
        <v>23</v>
      </c>
    </row>
    <row r="124" spans="1:4" x14ac:dyDescent="0.3">
      <c r="A124">
        <v>38</v>
      </c>
      <c r="B124" t="s">
        <v>135</v>
      </c>
      <c r="C124" t="s">
        <v>17</v>
      </c>
      <c r="D124" t="s">
        <v>45</v>
      </c>
    </row>
    <row r="125" spans="1:4" x14ac:dyDescent="0.3">
      <c r="A125">
        <v>38</v>
      </c>
      <c r="B125" t="s">
        <v>135</v>
      </c>
      <c r="C125" t="s">
        <v>18</v>
      </c>
      <c r="D125" t="s">
        <v>26</v>
      </c>
    </row>
  </sheetData>
  <pageMargins left="0.7" right="0.7" top="0.75" bottom="0.75" header="0.3" footer="0.3"/>
  <tableParts count="1">
    <tablePart r:id="rId1"/>
  </tableParts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item1.xml>��
</file>

<file path=customXml/itemProps1.xml><?xml version="1.0" encoding="utf-8"?>
<ds:datastoreItem xmlns:ds="http://schemas.openxmlformats.org/officeDocument/2006/customXml" ds:itemID="{E30A37EC-F42C-4E8F-BB72-A8AB1252CDE2}">
  <ds:schemaRefs>
    <ds:schemaRef ds:uri="http://schemas.microsoft.com/DataMashup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TOTAL SALES</vt:lpstr>
      <vt:lpstr>Sales Quantity Table</vt:lpstr>
      <vt:lpstr>unpivot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MBA PARTNERS FINANCE</dc:creator>
  <cp:lastModifiedBy>mohammed sinan</cp:lastModifiedBy>
  <dcterms:created xsi:type="dcterms:W3CDTF">2025-04-03T05:19:44Z</dcterms:created>
  <dcterms:modified xsi:type="dcterms:W3CDTF">2026-03-02T08:54:11Z</dcterms:modified>
</cp:coreProperties>
</file>